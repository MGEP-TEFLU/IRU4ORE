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MGEP Dropbox\Ander Martinez Perurena\Doktoretza\Results\Uncertainties analysis\Technologies\"/>
    </mc:Choice>
  </mc:AlternateContent>
  <xr:revisionPtr revIDLastSave="0" documentId="13_ncr:1_{942C35C2-01AF-4291-A983-03CFBB0A8256}" xr6:coauthVersionLast="47" xr6:coauthVersionMax="47" xr10:uidLastSave="{00000000-0000-0000-0000-000000000000}"/>
  <bookViews>
    <workbookView xWindow="28680" yWindow="-975" windowWidth="29040" windowHeight="15720" activeTab="1" xr2:uid="{00000000-000D-0000-FFFF-FFFF00000000}"/>
  </bookViews>
  <sheets>
    <sheet name="Electrical_PM" sheetId="1" r:id="rId1"/>
    <sheet name="Electrical_PM2" sheetId="3" r:id="rId2"/>
    <sheet name="Mechanical_PM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B25" i="1"/>
  <c r="W6" i="1"/>
</calcChain>
</file>

<file path=xl/sharedStrings.xml><?xml version="1.0" encoding="utf-8"?>
<sst xmlns="http://schemas.openxmlformats.org/spreadsheetml/2006/main" count="2" uniqueCount="2">
  <si>
    <t>Pe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</si>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</sst>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opLeftCell="A9" workbookViewId="0">
      <selection activeCell="A24" sqref="A24:Q44"/>
    </sheetView>
  </sheetViews>
  <sheetFormatPr baseColWidth="10" defaultColWidth="8.88671875" defaultRowHeight="14.4" x14ac:dyDescent="0.3"/>
  <sheetData>
    <row r="1" spans="1:23" x14ac:dyDescent="0.3">
      <c r="B1" s="1">
        <v>4.5</v>
      </c>
      <c r="C1" s="1">
        <v>5.5</v>
      </c>
      <c r="D1" s="1">
        <v>6.5</v>
      </c>
      <c r="E1" s="1">
        <v>7.5</v>
      </c>
      <c r="F1" s="1">
        <v>8.5</v>
      </c>
      <c r="G1" s="1">
        <v>9.5</v>
      </c>
      <c r="H1" s="1">
        <v>10.5</v>
      </c>
      <c r="I1" s="1">
        <v>11.5</v>
      </c>
      <c r="J1" s="1">
        <v>12.5</v>
      </c>
      <c r="K1" s="1">
        <v>13.5</v>
      </c>
      <c r="L1" s="1">
        <v>14.5</v>
      </c>
      <c r="M1" s="1">
        <v>15.5</v>
      </c>
      <c r="N1" s="1">
        <v>16.5</v>
      </c>
      <c r="O1" s="1">
        <v>17.5</v>
      </c>
      <c r="P1" s="1">
        <v>18.5</v>
      </c>
      <c r="Q1" s="1">
        <v>19.5</v>
      </c>
    </row>
    <row r="2" spans="1:23" x14ac:dyDescent="0.3">
      <c r="A2" s="1">
        <v>0.25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23" x14ac:dyDescent="0.3">
      <c r="A3" s="1">
        <v>0.75</v>
      </c>
      <c r="B3">
        <v>4</v>
      </c>
      <c r="C3">
        <v>7</v>
      </c>
      <c r="D3">
        <v>9</v>
      </c>
      <c r="E3">
        <v>11</v>
      </c>
      <c r="F3">
        <v>12</v>
      </c>
      <c r="G3">
        <v>12</v>
      </c>
      <c r="H3">
        <v>11</v>
      </c>
      <c r="I3">
        <v>9</v>
      </c>
      <c r="J3">
        <v>8</v>
      </c>
      <c r="K3">
        <v>6</v>
      </c>
      <c r="L3">
        <v>5</v>
      </c>
      <c r="M3">
        <v>4</v>
      </c>
      <c r="N3">
        <v>3</v>
      </c>
      <c r="O3">
        <v>3</v>
      </c>
      <c r="P3">
        <v>2</v>
      </c>
      <c r="Q3">
        <v>2</v>
      </c>
    </row>
    <row r="4" spans="1:23" x14ac:dyDescent="0.3">
      <c r="A4" s="1">
        <v>1.25</v>
      </c>
      <c r="B4">
        <v>11</v>
      </c>
      <c r="C4">
        <v>18</v>
      </c>
      <c r="D4">
        <v>26</v>
      </c>
      <c r="E4">
        <v>31</v>
      </c>
      <c r="F4">
        <v>34</v>
      </c>
      <c r="G4">
        <v>32</v>
      </c>
      <c r="H4">
        <v>29</v>
      </c>
      <c r="I4">
        <v>25</v>
      </c>
      <c r="J4">
        <v>21</v>
      </c>
      <c r="K4">
        <v>17</v>
      </c>
      <c r="L4">
        <v>14</v>
      </c>
      <c r="M4">
        <v>12</v>
      </c>
      <c r="N4">
        <v>9</v>
      </c>
      <c r="O4">
        <v>8</v>
      </c>
      <c r="P4">
        <v>6</v>
      </c>
      <c r="Q4">
        <v>5</v>
      </c>
    </row>
    <row r="5" spans="1:23" x14ac:dyDescent="0.3">
      <c r="A5" s="1">
        <v>1.75</v>
      </c>
      <c r="B5">
        <v>22</v>
      </c>
      <c r="C5">
        <v>36</v>
      </c>
      <c r="D5">
        <v>55</v>
      </c>
      <c r="E5">
        <v>60</v>
      </c>
      <c r="F5">
        <v>64</v>
      </c>
      <c r="G5">
        <v>62</v>
      </c>
      <c r="H5">
        <v>56</v>
      </c>
      <c r="I5">
        <v>48</v>
      </c>
      <c r="J5">
        <v>40</v>
      </c>
      <c r="K5">
        <v>33</v>
      </c>
      <c r="L5">
        <v>27</v>
      </c>
      <c r="M5">
        <v>22</v>
      </c>
      <c r="N5">
        <v>18</v>
      </c>
      <c r="O5">
        <v>15</v>
      </c>
      <c r="P5">
        <v>13</v>
      </c>
      <c r="Q5">
        <v>10</v>
      </c>
    </row>
    <row r="6" spans="1:23" x14ac:dyDescent="0.3">
      <c r="A6" s="1">
        <v>2.25</v>
      </c>
      <c r="B6">
        <v>36</v>
      </c>
      <c r="C6">
        <v>59</v>
      </c>
      <c r="D6">
        <v>82</v>
      </c>
      <c r="E6">
        <v>99</v>
      </c>
      <c r="F6">
        <v>105</v>
      </c>
      <c r="G6">
        <v>101</v>
      </c>
      <c r="H6">
        <v>90</v>
      </c>
      <c r="I6">
        <v>78</v>
      </c>
      <c r="J6">
        <v>65</v>
      </c>
      <c r="K6">
        <v>54</v>
      </c>
      <c r="L6">
        <v>44</v>
      </c>
      <c r="M6">
        <v>36</v>
      </c>
      <c r="N6">
        <v>30</v>
      </c>
      <c r="O6">
        <v>25</v>
      </c>
      <c r="P6">
        <v>20</v>
      </c>
      <c r="Q6">
        <v>17</v>
      </c>
      <c r="V6" t="s">
        <v>0</v>
      </c>
      <c r="W6">
        <f>80%</f>
        <v>0.8</v>
      </c>
    </row>
    <row r="7" spans="1:23" x14ac:dyDescent="0.3">
      <c r="A7" s="1">
        <v>2.75</v>
      </c>
      <c r="B7">
        <v>54</v>
      </c>
      <c r="C7">
        <v>88</v>
      </c>
      <c r="D7">
        <v>121</v>
      </c>
      <c r="E7">
        <v>145</v>
      </c>
      <c r="F7">
        <v>154</v>
      </c>
      <c r="G7">
        <v>148</v>
      </c>
      <c r="H7">
        <v>133</v>
      </c>
      <c r="I7">
        <v>114</v>
      </c>
      <c r="J7">
        <v>96</v>
      </c>
      <c r="K7">
        <v>79</v>
      </c>
      <c r="L7">
        <v>65</v>
      </c>
      <c r="M7">
        <v>53</v>
      </c>
      <c r="N7">
        <v>44</v>
      </c>
      <c r="O7">
        <v>36</v>
      </c>
      <c r="P7">
        <v>30</v>
      </c>
      <c r="Q7">
        <v>25</v>
      </c>
    </row>
    <row r="8" spans="1:23" x14ac:dyDescent="0.3">
      <c r="A8" s="1">
        <v>3.25</v>
      </c>
      <c r="B8">
        <v>75</v>
      </c>
      <c r="C8">
        <v>123</v>
      </c>
      <c r="D8">
        <v>168</v>
      </c>
      <c r="E8">
        <v>201</v>
      </c>
      <c r="F8">
        <v>212</v>
      </c>
      <c r="G8">
        <v>203</v>
      </c>
      <c r="H8">
        <v>182</v>
      </c>
      <c r="I8">
        <v>157</v>
      </c>
      <c r="J8">
        <v>131</v>
      </c>
      <c r="K8">
        <v>109</v>
      </c>
      <c r="L8">
        <v>89</v>
      </c>
      <c r="M8">
        <v>73</v>
      </c>
      <c r="N8">
        <v>60</v>
      </c>
      <c r="O8">
        <v>50</v>
      </c>
      <c r="P8">
        <v>42</v>
      </c>
      <c r="Q8">
        <v>35</v>
      </c>
    </row>
    <row r="9" spans="1:23" x14ac:dyDescent="0.3">
      <c r="A9" s="1">
        <v>3.75</v>
      </c>
      <c r="B9">
        <v>100</v>
      </c>
      <c r="C9">
        <v>163</v>
      </c>
      <c r="D9">
        <v>222</v>
      </c>
      <c r="E9">
        <v>264</v>
      </c>
      <c r="F9">
        <v>277</v>
      </c>
      <c r="G9">
        <v>265</v>
      </c>
      <c r="H9">
        <v>238</v>
      </c>
      <c r="I9">
        <v>205</v>
      </c>
      <c r="J9">
        <v>172</v>
      </c>
      <c r="K9">
        <v>142</v>
      </c>
      <c r="L9">
        <v>117</v>
      </c>
      <c r="M9">
        <v>96</v>
      </c>
      <c r="N9">
        <v>79</v>
      </c>
      <c r="O9">
        <v>66</v>
      </c>
      <c r="P9">
        <v>55</v>
      </c>
      <c r="Q9">
        <v>46</v>
      </c>
    </row>
    <row r="10" spans="1:23" x14ac:dyDescent="0.3">
      <c r="A10" s="1">
        <v>4.25</v>
      </c>
      <c r="B10">
        <v>128</v>
      </c>
      <c r="C10">
        <v>208</v>
      </c>
      <c r="D10">
        <v>283</v>
      </c>
      <c r="E10">
        <v>335</v>
      </c>
      <c r="F10">
        <v>351</v>
      </c>
      <c r="G10">
        <v>335</v>
      </c>
      <c r="H10">
        <v>301</v>
      </c>
      <c r="I10">
        <v>259</v>
      </c>
      <c r="J10">
        <v>218</v>
      </c>
      <c r="K10">
        <v>180</v>
      </c>
      <c r="L10">
        <v>148</v>
      </c>
      <c r="M10">
        <v>122</v>
      </c>
      <c r="N10">
        <v>100</v>
      </c>
      <c r="O10">
        <v>83</v>
      </c>
      <c r="P10">
        <v>69</v>
      </c>
      <c r="Q10">
        <v>58</v>
      </c>
    </row>
    <row r="11" spans="1:23" x14ac:dyDescent="0.3">
      <c r="A11" s="1">
        <v>4.75</v>
      </c>
      <c r="B11">
        <v>159</v>
      </c>
      <c r="C11">
        <v>259</v>
      </c>
      <c r="D11">
        <v>352</v>
      </c>
      <c r="E11">
        <v>414</v>
      </c>
      <c r="F11">
        <v>433</v>
      </c>
      <c r="G11">
        <v>413</v>
      </c>
      <c r="H11">
        <v>370</v>
      </c>
      <c r="I11">
        <v>319</v>
      </c>
      <c r="J11">
        <v>268</v>
      </c>
      <c r="K11">
        <v>222</v>
      </c>
      <c r="L11">
        <v>183</v>
      </c>
      <c r="M11">
        <v>150</v>
      </c>
      <c r="N11">
        <v>124</v>
      </c>
      <c r="O11">
        <v>103</v>
      </c>
      <c r="P11">
        <v>86</v>
      </c>
      <c r="Q11">
        <v>72</v>
      </c>
    </row>
    <row r="12" spans="1:23" x14ac:dyDescent="0.3">
      <c r="A12" s="1">
        <v>5.25</v>
      </c>
      <c r="B12">
        <v>194</v>
      </c>
      <c r="C12">
        <v>315</v>
      </c>
      <c r="D12">
        <v>426</v>
      </c>
      <c r="E12">
        <v>501</v>
      </c>
      <c r="F12">
        <v>522</v>
      </c>
      <c r="G12">
        <v>497</v>
      </c>
      <c r="H12">
        <v>445</v>
      </c>
      <c r="I12">
        <v>384</v>
      </c>
      <c r="J12">
        <v>323</v>
      </c>
      <c r="K12">
        <v>268</v>
      </c>
      <c r="L12">
        <v>220</v>
      </c>
      <c r="M12">
        <v>181</v>
      </c>
      <c r="N12">
        <v>150</v>
      </c>
      <c r="O12">
        <v>124</v>
      </c>
      <c r="P12">
        <v>104</v>
      </c>
      <c r="Q12">
        <v>87</v>
      </c>
    </row>
    <row r="13" spans="1:23" x14ac:dyDescent="0.3">
      <c r="A13" s="1">
        <v>5.75</v>
      </c>
      <c r="B13">
        <v>232</v>
      </c>
      <c r="C13">
        <v>377</v>
      </c>
      <c r="D13">
        <v>508</v>
      </c>
      <c r="E13">
        <v>595</v>
      </c>
      <c r="F13">
        <v>618</v>
      </c>
      <c r="G13">
        <v>588</v>
      </c>
      <c r="H13">
        <v>526</v>
      </c>
      <c r="I13">
        <v>454</v>
      </c>
      <c r="J13">
        <v>382</v>
      </c>
      <c r="K13">
        <v>317</v>
      </c>
      <c r="L13">
        <v>261</v>
      </c>
      <c r="M13">
        <v>215</v>
      </c>
      <c r="N13">
        <v>178</v>
      </c>
      <c r="O13">
        <v>148</v>
      </c>
      <c r="P13">
        <v>123</v>
      </c>
      <c r="Q13">
        <v>104</v>
      </c>
    </row>
    <row r="14" spans="1:23" x14ac:dyDescent="0.3">
      <c r="A14" s="1">
        <v>6.25</v>
      </c>
      <c r="B14">
        <v>274</v>
      </c>
      <c r="C14">
        <v>443</v>
      </c>
      <c r="D14">
        <v>596</v>
      </c>
      <c r="E14">
        <v>696</v>
      </c>
      <c r="F14">
        <v>722</v>
      </c>
      <c r="G14">
        <v>685</v>
      </c>
      <c r="H14">
        <v>614</v>
      </c>
      <c r="I14">
        <v>529</v>
      </c>
      <c r="J14">
        <v>446</v>
      </c>
      <c r="K14">
        <v>370</v>
      </c>
      <c r="L14">
        <v>305</v>
      </c>
      <c r="M14">
        <v>252</v>
      </c>
      <c r="N14">
        <v>208</v>
      </c>
      <c r="O14">
        <v>173</v>
      </c>
      <c r="P14">
        <v>144</v>
      </c>
      <c r="Q14">
        <v>121</v>
      </c>
    </row>
    <row r="15" spans="1:23" x14ac:dyDescent="0.3">
      <c r="A15" s="1">
        <v>6.75</v>
      </c>
      <c r="B15">
        <v>319</v>
      </c>
      <c r="C15">
        <v>515</v>
      </c>
      <c r="D15">
        <v>691</v>
      </c>
      <c r="E15">
        <v>804</v>
      </c>
      <c r="F15">
        <v>832</v>
      </c>
      <c r="G15">
        <v>789</v>
      </c>
      <c r="H15">
        <v>706</v>
      </c>
      <c r="I15">
        <v>610</v>
      </c>
      <c r="J15">
        <v>514</v>
      </c>
      <c r="K15">
        <v>427</v>
      </c>
      <c r="L15">
        <v>352</v>
      </c>
      <c r="M15">
        <v>291</v>
      </c>
      <c r="N15">
        <v>240</v>
      </c>
      <c r="O15">
        <v>200</v>
      </c>
      <c r="P15">
        <v>167</v>
      </c>
      <c r="Q15">
        <v>140</v>
      </c>
    </row>
    <row r="16" spans="1:23" x14ac:dyDescent="0.3">
      <c r="A16" s="1">
        <v>7.25</v>
      </c>
      <c r="B16">
        <v>367</v>
      </c>
      <c r="C16">
        <v>592</v>
      </c>
      <c r="D16">
        <v>792</v>
      </c>
      <c r="E16">
        <v>919</v>
      </c>
      <c r="F16">
        <v>949</v>
      </c>
      <c r="G16">
        <v>899</v>
      </c>
      <c r="H16">
        <v>805</v>
      </c>
      <c r="I16">
        <v>695</v>
      </c>
      <c r="J16">
        <v>586</v>
      </c>
      <c r="K16">
        <v>487</v>
      </c>
      <c r="L16">
        <v>402</v>
      </c>
      <c r="M16">
        <v>332</v>
      </c>
      <c r="N16">
        <v>275</v>
      </c>
      <c r="O16">
        <v>228</v>
      </c>
      <c r="P16">
        <v>191</v>
      </c>
      <c r="Q16">
        <v>161</v>
      </c>
    </row>
    <row r="17" spans="1:17" x14ac:dyDescent="0.3">
      <c r="A17" s="1">
        <v>7.75</v>
      </c>
      <c r="B17">
        <v>418</v>
      </c>
      <c r="C17">
        <v>674</v>
      </c>
      <c r="D17">
        <v>899</v>
      </c>
      <c r="E17">
        <v>1040</v>
      </c>
      <c r="F17">
        <v>1072</v>
      </c>
      <c r="G17">
        <v>1015</v>
      </c>
      <c r="H17">
        <v>909</v>
      </c>
      <c r="I17">
        <v>785</v>
      </c>
      <c r="J17">
        <v>662</v>
      </c>
      <c r="K17">
        <v>551</v>
      </c>
      <c r="L17">
        <v>455</v>
      </c>
      <c r="M17">
        <v>376</v>
      </c>
      <c r="N17">
        <v>311</v>
      </c>
      <c r="O17">
        <v>259</v>
      </c>
      <c r="P17">
        <v>217</v>
      </c>
      <c r="Q17">
        <v>182</v>
      </c>
    </row>
    <row r="18" spans="1:17" x14ac:dyDescent="0.3">
      <c r="A18" s="1">
        <v>8.25</v>
      </c>
      <c r="B18">
        <v>473</v>
      </c>
      <c r="C18">
        <v>760</v>
      </c>
      <c r="D18">
        <v>1013</v>
      </c>
      <c r="E18">
        <v>1169</v>
      </c>
      <c r="F18">
        <v>1202</v>
      </c>
      <c r="G18">
        <v>1137</v>
      </c>
      <c r="H18">
        <v>1018</v>
      </c>
      <c r="I18">
        <v>880</v>
      </c>
      <c r="J18">
        <v>743</v>
      </c>
      <c r="K18">
        <v>618</v>
      </c>
      <c r="L18">
        <v>511</v>
      </c>
      <c r="M18">
        <v>422</v>
      </c>
      <c r="N18">
        <v>350</v>
      </c>
      <c r="O18">
        <v>291</v>
      </c>
      <c r="P18">
        <v>244</v>
      </c>
      <c r="Q18">
        <v>205</v>
      </c>
    </row>
    <row r="19" spans="1:17" x14ac:dyDescent="0.3">
      <c r="A19" s="1">
        <v>8.75</v>
      </c>
      <c r="B19">
        <v>530</v>
      </c>
      <c r="C19">
        <v>852</v>
      </c>
      <c r="D19">
        <v>1132</v>
      </c>
      <c r="E19">
        <v>1303</v>
      </c>
      <c r="F19">
        <v>1339</v>
      </c>
      <c r="G19">
        <v>1265</v>
      </c>
      <c r="H19">
        <v>1132</v>
      </c>
      <c r="I19">
        <v>979</v>
      </c>
      <c r="J19">
        <v>827</v>
      </c>
      <c r="K19">
        <v>689</v>
      </c>
      <c r="L19">
        <v>570</v>
      </c>
      <c r="M19">
        <v>471</v>
      </c>
      <c r="N19">
        <v>391</v>
      </c>
      <c r="O19">
        <v>325</v>
      </c>
      <c r="P19">
        <v>273</v>
      </c>
      <c r="Q19">
        <v>230</v>
      </c>
    </row>
    <row r="20" spans="1:17" x14ac:dyDescent="0.3">
      <c r="A20" s="1">
        <v>9.25</v>
      </c>
      <c r="B20">
        <v>591</v>
      </c>
      <c r="C20">
        <v>949</v>
      </c>
      <c r="D20">
        <v>1257</v>
      </c>
      <c r="E20">
        <v>1444</v>
      </c>
      <c r="F20">
        <v>1481</v>
      </c>
      <c r="G20">
        <v>1399</v>
      </c>
      <c r="H20">
        <v>1252</v>
      </c>
      <c r="I20">
        <v>1083</v>
      </c>
      <c r="J20">
        <v>915</v>
      </c>
      <c r="K20">
        <v>763</v>
      </c>
      <c r="L20">
        <v>632</v>
      </c>
      <c r="M20">
        <v>523</v>
      </c>
      <c r="N20">
        <v>433</v>
      </c>
      <c r="O20">
        <v>361</v>
      </c>
      <c r="P20">
        <v>303</v>
      </c>
      <c r="Q20">
        <v>255</v>
      </c>
    </row>
    <row r="21" spans="1:17" x14ac:dyDescent="0.3">
      <c r="A21" s="1">
        <v>9.75</v>
      </c>
      <c r="B21">
        <v>655</v>
      </c>
      <c r="C21">
        <v>1050</v>
      </c>
      <c r="D21">
        <v>1388</v>
      </c>
      <c r="E21">
        <v>1591</v>
      </c>
      <c r="F21">
        <v>1630</v>
      </c>
      <c r="G21">
        <v>1538</v>
      </c>
      <c r="H21">
        <v>1377</v>
      </c>
      <c r="I21">
        <v>1191</v>
      </c>
      <c r="J21">
        <v>1008</v>
      </c>
      <c r="K21">
        <v>841</v>
      </c>
      <c r="L21">
        <v>696</v>
      </c>
      <c r="M21">
        <v>576</v>
      </c>
      <c r="N21">
        <v>478</v>
      </c>
      <c r="O21">
        <v>399</v>
      </c>
      <c r="P21">
        <v>334</v>
      </c>
      <c r="Q21">
        <v>282</v>
      </c>
    </row>
    <row r="24" spans="1:17" x14ac:dyDescent="0.3">
      <c r="B24" s="1">
        <v>4.5</v>
      </c>
      <c r="C24" s="1">
        <v>5.5</v>
      </c>
      <c r="D24" s="1">
        <v>6.5</v>
      </c>
      <c r="E24" s="1">
        <v>7.5</v>
      </c>
      <c r="F24" s="1">
        <v>8.5</v>
      </c>
      <c r="G24" s="1">
        <v>9.5</v>
      </c>
      <c r="H24" s="1">
        <v>10.5</v>
      </c>
      <c r="I24" s="1">
        <v>11.5</v>
      </c>
      <c r="J24" s="1">
        <v>12.5</v>
      </c>
      <c r="K24" s="1">
        <v>13.5</v>
      </c>
      <c r="L24" s="1">
        <v>14.5</v>
      </c>
      <c r="M24" s="1">
        <v>15.5</v>
      </c>
      <c r="N24" s="1">
        <v>16.5</v>
      </c>
      <c r="O24" s="1">
        <v>17.5</v>
      </c>
      <c r="P24" s="1">
        <v>18.5</v>
      </c>
      <c r="Q24" s="1">
        <v>19.5</v>
      </c>
    </row>
    <row r="25" spans="1:17" x14ac:dyDescent="0.3">
      <c r="A25" s="1">
        <v>0.25</v>
      </c>
      <c r="B25">
        <f>MIN(B2*$W$6,286)</f>
        <v>0</v>
      </c>
      <c r="C25">
        <f t="shared" ref="C25:Q25" si="0">MIN(C2*$W$6,286)</f>
        <v>0.8</v>
      </c>
      <c r="D25">
        <f t="shared" si="0"/>
        <v>0.8</v>
      </c>
      <c r="E25">
        <f t="shared" si="0"/>
        <v>0.8</v>
      </c>
      <c r="F25">
        <f t="shared" si="0"/>
        <v>0.8</v>
      </c>
      <c r="G25">
        <f t="shared" si="0"/>
        <v>0.8</v>
      </c>
      <c r="H25">
        <f t="shared" si="0"/>
        <v>0.8</v>
      </c>
      <c r="I25">
        <f t="shared" si="0"/>
        <v>0.8</v>
      </c>
      <c r="J25">
        <f t="shared" si="0"/>
        <v>0.8</v>
      </c>
      <c r="K25">
        <f t="shared" si="0"/>
        <v>0.8</v>
      </c>
      <c r="L25">
        <f t="shared" si="0"/>
        <v>0.8</v>
      </c>
      <c r="M25">
        <f t="shared" si="0"/>
        <v>0</v>
      </c>
      <c r="N25">
        <f t="shared" si="0"/>
        <v>0</v>
      </c>
      <c r="O25">
        <f t="shared" si="0"/>
        <v>0</v>
      </c>
      <c r="P25">
        <f t="shared" si="0"/>
        <v>0</v>
      </c>
      <c r="Q25">
        <f t="shared" si="0"/>
        <v>0</v>
      </c>
    </row>
    <row r="26" spans="1:17" x14ac:dyDescent="0.3">
      <c r="A26" s="1">
        <v>0.75</v>
      </c>
      <c r="B26">
        <f t="shared" ref="B26:Q26" si="1">MIN(B3*$W$6,286)</f>
        <v>3.2</v>
      </c>
      <c r="C26">
        <f t="shared" si="1"/>
        <v>5.6000000000000005</v>
      </c>
      <c r="D26">
        <f t="shared" si="1"/>
        <v>7.2</v>
      </c>
      <c r="E26">
        <f t="shared" si="1"/>
        <v>8.8000000000000007</v>
      </c>
      <c r="F26">
        <f t="shared" si="1"/>
        <v>9.6000000000000014</v>
      </c>
      <c r="G26">
        <f t="shared" si="1"/>
        <v>9.6000000000000014</v>
      </c>
      <c r="H26">
        <f t="shared" si="1"/>
        <v>8.8000000000000007</v>
      </c>
      <c r="I26">
        <f t="shared" si="1"/>
        <v>7.2</v>
      </c>
      <c r="J26">
        <f t="shared" si="1"/>
        <v>6.4</v>
      </c>
      <c r="K26">
        <f t="shared" si="1"/>
        <v>4.8000000000000007</v>
      </c>
      <c r="L26">
        <f t="shared" si="1"/>
        <v>4</v>
      </c>
      <c r="M26">
        <f t="shared" si="1"/>
        <v>3.2</v>
      </c>
      <c r="N26">
        <f t="shared" si="1"/>
        <v>2.4000000000000004</v>
      </c>
      <c r="O26">
        <f t="shared" si="1"/>
        <v>2.4000000000000004</v>
      </c>
      <c r="P26">
        <f t="shared" si="1"/>
        <v>1.6</v>
      </c>
      <c r="Q26">
        <f t="shared" si="1"/>
        <v>1.6</v>
      </c>
    </row>
    <row r="27" spans="1:17" x14ac:dyDescent="0.3">
      <c r="A27" s="1">
        <v>1.25</v>
      </c>
      <c r="B27">
        <f t="shared" ref="B27:Q27" si="2">MIN(B4*$W$6,286)</f>
        <v>8.8000000000000007</v>
      </c>
      <c r="C27">
        <f t="shared" si="2"/>
        <v>14.4</v>
      </c>
      <c r="D27">
        <f t="shared" si="2"/>
        <v>20.8</v>
      </c>
      <c r="E27">
        <f t="shared" si="2"/>
        <v>24.8</v>
      </c>
      <c r="F27">
        <f t="shared" si="2"/>
        <v>27.200000000000003</v>
      </c>
      <c r="G27">
        <f t="shared" si="2"/>
        <v>25.6</v>
      </c>
      <c r="H27">
        <f t="shared" si="2"/>
        <v>23.200000000000003</v>
      </c>
      <c r="I27">
        <f t="shared" si="2"/>
        <v>20</v>
      </c>
      <c r="J27">
        <f t="shared" si="2"/>
        <v>16.8</v>
      </c>
      <c r="K27">
        <f t="shared" si="2"/>
        <v>13.600000000000001</v>
      </c>
      <c r="L27">
        <f t="shared" si="2"/>
        <v>11.200000000000001</v>
      </c>
      <c r="M27">
        <f t="shared" si="2"/>
        <v>9.6000000000000014</v>
      </c>
      <c r="N27">
        <f t="shared" si="2"/>
        <v>7.2</v>
      </c>
      <c r="O27">
        <f t="shared" si="2"/>
        <v>6.4</v>
      </c>
      <c r="P27">
        <f t="shared" si="2"/>
        <v>4.8000000000000007</v>
      </c>
      <c r="Q27">
        <f t="shared" si="2"/>
        <v>4</v>
      </c>
    </row>
    <row r="28" spans="1:17" x14ac:dyDescent="0.3">
      <c r="A28" s="1">
        <v>1.75</v>
      </c>
      <c r="B28">
        <f t="shared" ref="B28:Q28" si="3">MIN(B5*$W$6,286)</f>
        <v>17.600000000000001</v>
      </c>
      <c r="C28">
        <f t="shared" si="3"/>
        <v>28.8</v>
      </c>
      <c r="D28">
        <f t="shared" si="3"/>
        <v>44</v>
      </c>
      <c r="E28">
        <f t="shared" si="3"/>
        <v>48</v>
      </c>
      <c r="F28">
        <f t="shared" si="3"/>
        <v>51.2</v>
      </c>
      <c r="G28">
        <f t="shared" si="3"/>
        <v>49.6</v>
      </c>
      <c r="H28">
        <f t="shared" si="3"/>
        <v>44.800000000000004</v>
      </c>
      <c r="I28">
        <f t="shared" si="3"/>
        <v>38.400000000000006</v>
      </c>
      <c r="J28">
        <f t="shared" si="3"/>
        <v>32</v>
      </c>
      <c r="K28">
        <f t="shared" si="3"/>
        <v>26.400000000000002</v>
      </c>
      <c r="L28">
        <f t="shared" si="3"/>
        <v>21.6</v>
      </c>
      <c r="M28">
        <f t="shared" si="3"/>
        <v>17.600000000000001</v>
      </c>
      <c r="N28">
        <f t="shared" si="3"/>
        <v>14.4</v>
      </c>
      <c r="O28">
        <f t="shared" si="3"/>
        <v>12</v>
      </c>
      <c r="P28">
        <f t="shared" si="3"/>
        <v>10.4</v>
      </c>
      <c r="Q28">
        <f t="shared" si="3"/>
        <v>8</v>
      </c>
    </row>
    <row r="29" spans="1:17" x14ac:dyDescent="0.3">
      <c r="A29" s="1">
        <v>2.25</v>
      </c>
      <c r="B29">
        <f t="shared" ref="B29:Q29" si="4">MIN(B6*$W$6,286)</f>
        <v>28.8</v>
      </c>
      <c r="C29">
        <f t="shared" si="4"/>
        <v>47.2</v>
      </c>
      <c r="D29">
        <f t="shared" si="4"/>
        <v>65.600000000000009</v>
      </c>
      <c r="E29">
        <f t="shared" si="4"/>
        <v>79.2</v>
      </c>
      <c r="F29">
        <f t="shared" si="4"/>
        <v>84</v>
      </c>
      <c r="G29">
        <f t="shared" si="4"/>
        <v>80.800000000000011</v>
      </c>
      <c r="H29">
        <f t="shared" si="4"/>
        <v>72</v>
      </c>
      <c r="I29">
        <f t="shared" si="4"/>
        <v>62.400000000000006</v>
      </c>
      <c r="J29">
        <f t="shared" si="4"/>
        <v>52</v>
      </c>
      <c r="K29">
        <f t="shared" si="4"/>
        <v>43.2</v>
      </c>
      <c r="L29">
        <f t="shared" si="4"/>
        <v>35.200000000000003</v>
      </c>
      <c r="M29">
        <f t="shared" si="4"/>
        <v>28.8</v>
      </c>
      <c r="N29">
        <f t="shared" si="4"/>
        <v>24</v>
      </c>
      <c r="O29">
        <f t="shared" si="4"/>
        <v>20</v>
      </c>
      <c r="P29">
        <f t="shared" si="4"/>
        <v>16</v>
      </c>
      <c r="Q29">
        <f t="shared" si="4"/>
        <v>13.600000000000001</v>
      </c>
    </row>
    <row r="30" spans="1:17" x14ac:dyDescent="0.3">
      <c r="A30" s="1">
        <v>2.75</v>
      </c>
      <c r="B30">
        <f t="shared" ref="B30:Q30" si="5">MIN(B7*$W$6,286)</f>
        <v>43.2</v>
      </c>
      <c r="C30">
        <f t="shared" si="5"/>
        <v>70.400000000000006</v>
      </c>
      <c r="D30">
        <f t="shared" si="5"/>
        <v>96.800000000000011</v>
      </c>
      <c r="E30">
        <f t="shared" si="5"/>
        <v>116</v>
      </c>
      <c r="F30">
        <f t="shared" si="5"/>
        <v>123.2</v>
      </c>
      <c r="G30">
        <f t="shared" si="5"/>
        <v>118.4</v>
      </c>
      <c r="H30">
        <f t="shared" si="5"/>
        <v>106.4</v>
      </c>
      <c r="I30">
        <f t="shared" si="5"/>
        <v>91.2</v>
      </c>
      <c r="J30">
        <f t="shared" si="5"/>
        <v>76.800000000000011</v>
      </c>
      <c r="K30">
        <f t="shared" si="5"/>
        <v>63.2</v>
      </c>
      <c r="L30">
        <f t="shared" si="5"/>
        <v>52</v>
      </c>
      <c r="M30">
        <f t="shared" si="5"/>
        <v>42.400000000000006</v>
      </c>
      <c r="N30">
        <f t="shared" si="5"/>
        <v>35.200000000000003</v>
      </c>
      <c r="O30">
        <f t="shared" si="5"/>
        <v>28.8</v>
      </c>
      <c r="P30">
        <f t="shared" si="5"/>
        <v>24</v>
      </c>
      <c r="Q30">
        <f t="shared" si="5"/>
        <v>20</v>
      </c>
    </row>
    <row r="31" spans="1:17" x14ac:dyDescent="0.3">
      <c r="A31" s="1">
        <v>3.25</v>
      </c>
      <c r="B31">
        <f t="shared" ref="B31:Q31" si="6">MIN(B8*$W$6,286)</f>
        <v>60</v>
      </c>
      <c r="C31">
        <f t="shared" si="6"/>
        <v>98.4</v>
      </c>
      <c r="D31">
        <f t="shared" si="6"/>
        <v>134.4</v>
      </c>
      <c r="E31">
        <f t="shared" si="6"/>
        <v>160.80000000000001</v>
      </c>
      <c r="F31">
        <f t="shared" si="6"/>
        <v>169.60000000000002</v>
      </c>
      <c r="G31">
        <f t="shared" si="6"/>
        <v>162.4</v>
      </c>
      <c r="H31">
        <f t="shared" si="6"/>
        <v>145.6</v>
      </c>
      <c r="I31">
        <f t="shared" si="6"/>
        <v>125.60000000000001</v>
      </c>
      <c r="J31">
        <f t="shared" si="6"/>
        <v>104.80000000000001</v>
      </c>
      <c r="K31">
        <f t="shared" si="6"/>
        <v>87.2</v>
      </c>
      <c r="L31">
        <f t="shared" si="6"/>
        <v>71.2</v>
      </c>
      <c r="M31">
        <f t="shared" si="6"/>
        <v>58.400000000000006</v>
      </c>
      <c r="N31">
        <f t="shared" si="6"/>
        <v>48</v>
      </c>
      <c r="O31">
        <f t="shared" si="6"/>
        <v>40</v>
      </c>
      <c r="P31">
        <f t="shared" si="6"/>
        <v>33.6</v>
      </c>
      <c r="Q31">
        <f t="shared" si="6"/>
        <v>28</v>
      </c>
    </row>
    <row r="32" spans="1:17" x14ac:dyDescent="0.3">
      <c r="A32" s="1">
        <v>3.75</v>
      </c>
      <c r="B32">
        <f t="shared" ref="B32:Q32" si="7">MIN(B9*$W$6,286)</f>
        <v>80</v>
      </c>
      <c r="C32">
        <f t="shared" si="7"/>
        <v>130.4</v>
      </c>
      <c r="D32">
        <f t="shared" si="7"/>
        <v>177.60000000000002</v>
      </c>
      <c r="E32">
        <f t="shared" si="7"/>
        <v>211.20000000000002</v>
      </c>
      <c r="F32">
        <f t="shared" si="7"/>
        <v>221.60000000000002</v>
      </c>
      <c r="G32">
        <f t="shared" si="7"/>
        <v>212</v>
      </c>
      <c r="H32">
        <f t="shared" si="7"/>
        <v>190.4</v>
      </c>
      <c r="I32">
        <f t="shared" si="7"/>
        <v>164</v>
      </c>
      <c r="J32">
        <f t="shared" si="7"/>
        <v>137.6</v>
      </c>
      <c r="K32">
        <f t="shared" si="7"/>
        <v>113.60000000000001</v>
      </c>
      <c r="L32">
        <f t="shared" si="7"/>
        <v>93.600000000000009</v>
      </c>
      <c r="M32">
        <f t="shared" si="7"/>
        <v>76.800000000000011</v>
      </c>
      <c r="N32">
        <f t="shared" si="7"/>
        <v>63.2</v>
      </c>
      <c r="O32">
        <f t="shared" si="7"/>
        <v>52.800000000000004</v>
      </c>
      <c r="P32">
        <f t="shared" si="7"/>
        <v>44</v>
      </c>
      <c r="Q32">
        <f t="shared" si="7"/>
        <v>36.800000000000004</v>
      </c>
    </row>
    <row r="33" spans="1:17" x14ac:dyDescent="0.3">
      <c r="A33" s="1">
        <v>4.25</v>
      </c>
      <c r="B33">
        <f t="shared" ref="B33:Q33" si="8">MIN(B10*$W$6,286)</f>
        <v>102.4</v>
      </c>
      <c r="C33">
        <f t="shared" si="8"/>
        <v>166.4</v>
      </c>
      <c r="D33">
        <f t="shared" si="8"/>
        <v>226.4</v>
      </c>
      <c r="E33">
        <f t="shared" si="8"/>
        <v>268</v>
      </c>
      <c r="F33">
        <f t="shared" si="8"/>
        <v>280.8</v>
      </c>
      <c r="G33">
        <f t="shared" si="8"/>
        <v>268</v>
      </c>
      <c r="H33">
        <f t="shared" si="8"/>
        <v>240.8</v>
      </c>
      <c r="I33">
        <f t="shared" si="8"/>
        <v>207.20000000000002</v>
      </c>
      <c r="J33">
        <f t="shared" si="8"/>
        <v>174.4</v>
      </c>
      <c r="K33">
        <f t="shared" si="8"/>
        <v>144</v>
      </c>
      <c r="L33">
        <f t="shared" si="8"/>
        <v>118.4</v>
      </c>
      <c r="M33">
        <f t="shared" si="8"/>
        <v>97.600000000000009</v>
      </c>
      <c r="N33">
        <f t="shared" si="8"/>
        <v>80</v>
      </c>
      <c r="O33">
        <f t="shared" si="8"/>
        <v>66.400000000000006</v>
      </c>
      <c r="P33">
        <f t="shared" si="8"/>
        <v>55.2</v>
      </c>
      <c r="Q33">
        <f t="shared" si="8"/>
        <v>46.400000000000006</v>
      </c>
    </row>
    <row r="34" spans="1:17" x14ac:dyDescent="0.3">
      <c r="A34" s="1">
        <v>4.75</v>
      </c>
      <c r="B34">
        <f t="shared" ref="B34:Q34" si="9">MIN(B11*$W$6,286)</f>
        <v>127.2</v>
      </c>
      <c r="C34">
        <f t="shared" si="9"/>
        <v>207.20000000000002</v>
      </c>
      <c r="D34">
        <f t="shared" si="9"/>
        <v>281.60000000000002</v>
      </c>
      <c r="E34">
        <f t="shared" si="9"/>
        <v>286</v>
      </c>
      <c r="F34">
        <f t="shared" si="9"/>
        <v>286</v>
      </c>
      <c r="G34">
        <f t="shared" si="9"/>
        <v>286</v>
      </c>
      <c r="H34">
        <f t="shared" si="9"/>
        <v>286</v>
      </c>
      <c r="I34">
        <f t="shared" si="9"/>
        <v>255.20000000000002</v>
      </c>
      <c r="J34">
        <f t="shared" si="9"/>
        <v>214.4</v>
      </c>
      <c r="K34">
        <f t="shared" si="9"/>
        <v>177.60000000000002</v>
      </c>
      <c r="L34">
        <f t="shared" si="9"/>
        <v>146.4</v>
      </c>
      <c r="M34">
        <f t="shared" si="9"/>
        <v>120</v>
      </c>
      <c r="N34">
        <f t="shared" si="9"/>
        <v>99.2</v>
      </c>
      <c r="O34">
        <f t="shared" si="9"/>
        <v>82.4</v>
      </c>
      <c r="P34">
        <f t="shared" si="9"/>
        <v>68.8</v>
      </c>
      <c r="Q34">
        <f t="shared" si="9"/>
        <v>57.6</v>
      </c>
    </row>
    <row r="35" spans="1:17" x14ac:dyDescent="0.3">
      <c r="A35" s="1">
        <v>5.25</v>
      </c>
      <c r="B35">
        <f t="shared" ref="B35:Q35" si="10">MIN(B12*$W$6,286)</f>
        <v>155.20000000000002</v>
      </c>
      <c r="C35">
        <f t="shared" si="10"/>
        <v>252</v>
      </c>
      <c r="D35">
        <f t="shared" si="10"/>
        <v>286</v>
      </c>
      <c r="E35">
        <f t="shared" si="10"/>
        <v>286</v>
      </c>
      <c r="F35">
        <f t="shared" si="10"/>
        <v>286</v>
      </c>
      <c r="G35">
        <f t="shared" si="10"/>
        <v>286</v>
      </c>
      <c r="H35">
        <f t="shared" si="10"/>
        <v>286</v>
      </c>
      <c r="I35">
        <f t="shared" si="10"/>
        <v>286</v>
      </c>
      <c r="J35">
        <f t="shared" si="10"/>
        <v>258.40000000000003</v>
      </c>
      <c r="K35">
        <f t="shared" si="10"/>
        <v>214.4</v>
      </c>
      <c r="L35">
        <f t="shared" si="10"/>
        <v>176</v>
      </c>
      <c r="M35">
        <f t="shared" si="10"/>
        <v>144.80000000000001</v>
      </c>
      <c r="N35">
        <f t="shared" si="10"/>
        <v>120</v>
      </c>
      <c r="O35">
        <f t="shared" si="10"/>
        <v>99.2</v>
      </c>
      <c r="P35">
        <f t="shared" si="10"/>
        <v>83.2</v>
      </c>
      <c r="Q35">
        <f t="shared" si="10"/>
        <v>69.600000000000009</v>
      </c>
    </row>
    <row r="36" spans="1:17" x14ac:dyDescent="0.3">
      <c r="A36" s="1">
        <v>5.75</v>
      </c>
      <c r="B36">
        <f t="shared" ref="B36:Q36" si="11">MIN(B13*$W$6,286)</f>
        <v>185.60000000000002</v>
      </c>
      <c r="C36">
        <f t="shared" si="11"/>
        <v>286</v>
      </c>
      <c r="D36">
        <f t="shared" si="11"/>
        <v>286</v>
      </c>
      <c r="E36">
        <f t="shared" si="11"/>
        <v>286</v>
      </c>
      <c r="F36">
        <f t="shared" si="11"/>
        <v>286</v>
      </c>
      <c r="G36">
        <f t="shared" si="11"/>
        <v>286</v>
      </c>
      <c r="H36">
        <f t="shared" si="11"/>
        <v>286</v>
      </c>
      <c r="I36">
        <f t="shared" si="11"/>
        <v>286</v>
      </c>
      <c r="J36">
        <f t="shared" si="11"/>
        <v>286</v>
      </c>
      <c r="K36">
        <f t="shared" si="11"/>
        <v>253.60000000000002</v>
      </c>
      <c r="L36">
        <f t="shared" si="11"/>
        <v>208.8</v>
      </c>
      <c r="M36">
        <f t="shared" si="11"/>
        <v>172</v>
      </c>
      <c r="N36">
        <f t="shared" si="11"/>
        <v>142.4</v>
      </c>
      <c r="O36">
        <f t="shared" si="11"/>
        <v>118.4</v>
      </c>
      <c r="P36">
        <f t="shared" si="11"/>
        <v>98.4</v>
      </c>
      <c r="Q36">
        <f t="shared" si="11"/>
        <v>83.2</v>
      </c>
    </row>
    <row r="37" spans="1:17" x14ac:dyDescent="0.3">
      <c r="A37" s="1">
        <v>6.25</v>
      </c>
      <c r="B37">
        <f t="shared" ref="B37:Q37" si="12">MIN(B14*$W$6,286)</f>
        <v>219.20000000000002</v>
      </c>
      <c r="C37">
        <f t="shared" si="12"/>
        <v>286</v>
      </c>
      <c r="D37">
        <f t="shared" si="12"/>
        <v>286</v>
      </c>
      <c r="E37">
        <f t="shared" si="12"/>
        <v>286</v>
      </c>
      <c r="F37">
        <f t="shared" si="12"/>
        <v>286</v>
      </c>
      <c r="G37">
        <f t="shared" si="12"/>
        <v>286</v>
      </c>
      <c r="H37">
        <f t="shared" si="12"/>
        <v>286</v>
      </c>
      <c r="I37">
        <f t="shared" si="12"/>
        <v>286</v>
      </c>
      <c r="J37">
        <f t="shared" si="12"/>
        <v>286</v>
      </c>
      <c r="K37">
        <f t="shared" si="12"/>
        <v>286</v>
      </c>
      <c r="L37">
        <f t="shared" si="12"/>
        <v>244</v>
      </c>
      <c r="M37">
        <f t="shared" si="12"/>
        <v>201.60000000000002</v>
      </c>
      <c r="N37">
        <f t="shared" si="12"/>
        <v>166.4</v>
      </c>
      <c r="O37">
        <f t="shared" si="12"/>
        <v>138.4</v>
      </c>
      <c r="P37">
        <f t="shared" si="12"/>
        <v>115.2</v>
      </c>
      <c r="Q37">
        <f t="shared" si="12"/>
        <v>96.800000000000011</v>
      </c>
    </row>
    <row r="38" spans="1:17" x14ac:dyDescent="0.3">
      <c r="A38" s="1">
        <v>6.75</v>
      </c>
      <c r="B38">
        <f t="shared" ref="B38:Q38" si="13">MIN(B15*$W$6,286)</f>
        <v>255.20000000000002</v>
      </c>
      <c r="C38">
        <f t="shared" si="13"/>
        <v>286</v>
      </c>
      <c r="D38">
        <f t="shared" si="13"/>
        <v>286</v>
      </c>
      <c r="E38">
        <f t="shared" si="13"/>
        <v>286</v>
      </c>
      <c r="F38">
        <f t="shared" si="13"/>
        <v>286</v>
      </c>
      <c r="G38">
        <f t="shared" si="13"/>
        <v>286</v>
      </c>
      <c r="H38">
        <f t="shared" si="13"/>
        <v>286</v>
      </c>
      <c r="I38">
        <f t="shared" si="13"/>
        <v>286</v>
      </c>
      <c r="J38">
        <f t="shared" si="13"/>
        <v>286</v>
      </c>
      <c r="K38">
        <f t="shared" si="13"/>
        <v>286</v>
      </c>
      <c r="L38">
        <f t="shared" si="13"/>
        <v>281.60000000000002</v>
      </c>
      <c r="M38">
        <f t="shared" si="13"/>
        <v>232.8</v>
      </c>
      <c r="N38">
        <f t="shared" si="13"/>
        <v>192</v>
      </c>
      <c r="O38">
        <f t="shared" si="13"/>
        <v>160</v>
      </c>
      <c r="P38">
        <f t="shared" si="13"/>
        <v>133.6</v>
      </c>
      <c r="Q38">
        <f t="shared" si="13"/>
        <v>112</v>
      </c>
    </row>
    <row r="39" spans="1:17" x14ac:dyDescent="0.3">
      <c r="A39" s="1">
        <v>7.25</v>
      </c>
      <c r="B39">
        <f t="shared" ref="B39:Q39" si="14">MIN(B16*$W$6,286)</f>
        <v>286</v>
      </c>
      <c r="C39">
        <f t="shared" si="14"/>
        <v>286</v>
      </c>
      <c r="D39">
        <f t="shared" si="14"/>
        <v>286</v>
      </c>
      <c r="E39">
        <f t="shared" si="14"/>
        <v>286</v>
      </c>
      <c r="F39">
        <f t="shared" si="14"/>
        <v>286</v>
      </c>
      <c r="G39">
        <f t="shared" si="14"/>
        <v>286</v>
      </c>
      <c r="H39">
        <f t="shared" si="14"/>
        <v>286</v>
      </c>
      <c r="I39">
        <f t="shared" si="14"/>
        <v>286</v>
      </c>
      <c r="J39">
        <f t="shared" si="14"/>
        <v>286</v>
      </c>
      <c r="K39">
        <f t="shared" si="14"/>
        <v>286</v>
      </c>
      <c r="L39">
        <f t="shared" si="14"/>
        <v>286</v>
      </c>
      <c r="M39">
        <f t="shared" si="14"/>
        <v>265.60000000000002</v>
      </c>
      <c r="N39">
        <f t="shared" si="14"/>
        <v>220</v>
      </c>
      <c r="O39">
        <f t="shared" si="14"/>
        <v>182.4</v>
      </c>
      <c r="P39">
        <f t="shared" si="14"/>
        <v>152.80000000000001</v>
      </c>
      <c r="Q39">
        <f t="shared" si="14"/>
        <v>128.80000000000001</v>
      </c>
    </row>
    <row r="40" spans="1:17" x14ac:dyDescent="0.3">
      <c r="A40" s="1">
        <v>7.75</v>
      </c>
      <c r="B40">
        <f t="shared" ref="B40:Q40" si="15">MIN(B17*$W$6,286)</f>
        <v>286</v>
      </c>
      <c r="C40">
        <f t="shared" si="15"/>
        <v>286</v>
      </c>
      <c r="D40">
        <f t="shared" si="15"/>
        <v>286</v>
      </c>
      <c r="E40">
        <f t="shared" si="15"/>
        <v>286</v>
      </c>
      <c r="F40">
        <f t="shared" si="15"/>
        <v>286</v>
      </c>
      <c r="G40">
        <f t="shared" si="15"/>
        <v>286</v>
      </c>
      <c r="H40">
        <f t="shared" si="15"/>
        <v>286</v>
      </c>
      <c r="I40">
        <f t="shared" si="15"/>
        <v>286</v>
      </c>
      <c r="J40">
        <f t="shared" si="15"/>
        <v>286</v>
      </c>
      <c r="K40">
        <f t="shared" si="15"/>
        <v>286</v>
      </c>
      <c r="L40">
        <f t="shared" si="15"/>
        <v>286</v>
      </c>
      <c r="M40">
        <f t="shared" si="15"/>
        <v>286</v>
      </c>
      <c r="N40">
        <f t="shared" si="15"/>
        <v>248.8</v>
      </c>
      <c r="O40">
        <f t="shared" si="15"/>
        <v>207.20000000000002</v>
      </c>
      <c r="P40">
        <f t="shared" si="15"/>
        <v>173.60000000000002</v>
      </c>
      <c r="Q40">
        <f t="shared" si="15"/>
        <v>145.6</v>
      </c>
    </row>
    <row r="41" spans="1:17" x14ac:dyDescent="0.3">
      <c r="A41" s="1">
        <v>8.25</v>
      </c>
      <c r="B41">
        <f t="shared" ref="B41:Q41" si="16">MIN(B18*$W$6,286)</f>
        <v>286</v>
      </c>
      <c r="C41">
        <f t="shared" si="16"/>
        <v>286</v>
      </c>
      <c r="D41">
        <f t="shared" si="16"/>
        <v>286</v>
      </c>
      <c r="E41">
        <f t="shared" si="16"/>
        <v>286</v>
      </c>
      <c r="F41">
        <f t="shared" si="16"/>
        <v>286</v>
      </c>
      <c r="G41">
        <f t="shared" si="16"/>
        <v>286</v>
      </c>
      <c r="H41">
        <f t="shared" si="16"/>
        <v>286</v>
      </c>
      <c r="I41">
        <f t="shared" si="16"/>
        <v>286</v>
      </c>
      <c r="J41">
        <f t="shared" si="16"/>
        <v>286</v>
      </c>
      <c r="K41">
        <f t="shared" si="16"/>
        <v>286</v>
      </c>
      <c r="L41">
        <f t="shared" si="16"/>
        <v>286</v>
      </c>
      <c r="M41">
        <f t="shared" si="16"/>
        <v>286</v>
      </c>
      <c r="N41">
        <f t="shared" si="16"/>
        <v>280</v>
      </c>
      <c r="O41">
        <f t="shared" si="16"/>
        <v>232.8</v>
      </c>
      <c r="P41">
        <f t="shared" si="16"/>
        <v>195.20000000000002</v>
      </c>
      <c r="Q41">
        <f t="shared" si="16"/>
        <v>164</v>
      </c>
    </row>
    <row r="42" spans="1:17" x14ac:dyDescent="0.3">
      <c r="A42" s="1">
        <v>8.75</v>
      </c>
      <c r="B42">
        <f t="shared" ref="B42:Q42" si="17">MIN(B19*$W$6,286)</f>
        <v>286</v>
      </c>
      <c r="C42">
        <f t="shared" si="17"/>
        <v>286</v>
      </c>
      <c r="D42">
        <f t="shared" si="17"/>
        <v>286</v>
      </c>
      <c r="E42">
        <f t="shared" si="17"/>
        <v>286</v>
      </c>
      <c r="F42">
        <f t="shared" si="17"/>
        <v>286</v>
      </c>
      <c r="G42">
        <f t="shared" si="17"/>
        <v>286</v>
      </c>
      <c r="H42">
        <f t="shared" si="17"/>
        <v>286</v>
      </c>
      <c r="I42">
        <f t="shared" si="17"/>
        <v>286</v>
      </c>
      <c r="J42">
        <f t="shared" si="17"/>
        <v>286</v>
      </c>
      <c r="K42">
        <f t="shared" si="17"/>
        <v>286</v>
      </c>
      <c r="L42">
        <f t="shared" si="17"/>
        <v>286</v>
      </c>
      <c r="M42">
        <f t="shared" si="17"/>
        <v>286</v>
      </c>
      <c r="N42">
        <f t="shared" si="17"/>
        <v>286</v>
      </c>
      <c r="O42">
        <f t="shared" si="17"/>
        <v>260</v>
      </c>
      <c r="P42">
        <f t="shared" si="17"/>
        <v>218.4</v>
      </c>
      <c r="Q42">
        <f t="shared" si="17"/>
        <v>184</v>
      </c>
    </row>
    <row r="43" spans="1:17" x14ac:dyDescent="0.3">
      <c r="A43" s="1">
        <v>9.25</v>
      </c>
      <c r="B43">
        <f t="shared" ref="B43:Q43" si="18">MIN(B20*$W$6,286)</f>
        <v>286</v>
      </c>
      <c r="C43">
        <f t="shared" si="18"/>
        <v>286</v>
      </c>
      <c r="D43">
        <f t="shared" si="18"/>
        <v>286</v>
      </c>
      <c r="E43">
        <f t="shared" si="18"/>
        <v>286</v>
      </c>
      <c r="F43">
        <f t="shared" si="18"/>
        <v>286</v>
      </c>
      <c r="G43">
        <f t="shared" si="18"/>
        <v>286</v>
      </c>
      <c r="H43">
        <f t="shared" si="18"/>
        <v>286</v>
      </c>
      <c r="I43">
        <f t="shared" si="18"/>
        <v>286</v>
      </c>
      <c r="J43">
        <f t="shared" si="18"/>
        <v>286</v>
      </c>
      <c r="K43">
        <f t="shared" si="18"/>
        <v>286</v>
      </c>
      <c r="L43">
        <f t="shared" si="18"/>
        <v>286</v>
      </c>
      <c r="M43">
        <f t="shared" si="18"/>
        <v>286</v>
      </c>
      <c r="N43">
        <f t="shared" si="18"/>
        <v>286</v>
      </c>
      <c r="O43">
        <f t="shared" si="18"/>
        <v>286</v>
      </c>
      <c r="P43">
        <f t="shared" si="18"/>
        <v>242.4</v>
      </c>
      <c r="Q43">
        <f t="shared" si="18"/>
        <v>204</v>
      </c>
    </row>
    <row r="44" spans="1:17" x14ac:dyDescent="0.3">
      <c r="A44" s="1">
        <v>9.75</v>
      </c>
      <c r="B44">
        <f t="shared" ref="B44:Q44" si="19">MIN(B21*$W$6,286)</f>
        <v>286</v>
      </c>
      <c r="C44">
        <f t="shared" si="19"/>
        <v>286</v>
      </c>
      <c r="D44">
        <f t="shared" si="19"/>
        <v>286</v>
      </c>
      <c r="E44">
        <f t="shared" si="19"/>
        <v>286</v>
      </c>
      <c r="F44">
        <f t="shared" si="19"/>
        <v>286</v>
      </c>
      <c r="G44">
        <f t="shared" si="19"/>
        <v>286</v>
      </c>
      <c r="H44">
        <f t="shared" si="19"/>
        <v>286</v>
      </c>
      <c r="I44">
        <f t="shared" si="19"/>
        <v>286</v>
      </c>
      <c r="J44">
        <f t="shared" si="19"/>
        <v>286</v>
      </c>
      <c r="K44">
        <f t="shared" si="19"/>
        <v>286</v>
      </c>
      <c r="L44">
        <f t="shared" si="19"/>
        <v>286</v>
      </c>
      <c r="M44">
        <f t="shared" si="19"/>
        <v>286</v>
      </c>
      <c r="N44">
        <f t="shared" si="19"/>
        <v>286</v>
      </c>
      <c r="O44">
        <f t="shared" si="19"/>
        <v>286</v>
      </c>
      <c r="P44">
        <f t="shared" si="19"/>
        <v>267.2</v>
      </c>
      <c r="Q44">
        <f t="shared" si="19"/>
        <v>225.60000000000002</v>
      </c>
    </row>
  </sheetData>
  <conditionalFormatting sqref="B2:Q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Q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Q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Q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C94-CE59-4334-A1A6-18E212846802}">
  <dimension ref="A1:Q21"/>
  <sheetViews>
    <sheetView tabSelected="1" workbookViewId="0">
      <selection activeCell="T14" sqref="T14"/>
    </sheetView>
  </sheetViews>
  <sheetFormatPr baseColWidth="10" defaultRowHeight="14.4" x14ac:dyDescent="0.3"/>
  <cols>
    <col min="1" max="17" width="6.77734375" customWidth="1"/>
  </cols>
  <sheetData>
    <row r="1" spans="1:17" x14ac:dyDescent="0.3">
      <c r="A1" t="s">
        <v>1</v>
      </c>
      <c r="B1" s="2">
        <v>4.5</v>
      </c>
      <c r="C1" s="2">
        <v>5.5</v>
      </c>
      <c r="D1" s="2">
        <v>6.5</v>
      </c>
      <c r="E1" s="2">
        <v>7.5</v>
      </c>
      <c r="F1" s="2">
        <v>8.5</v>
      </c>
      <c r="G1" s="2">
        <v>9.5</v>
      </c>
      <c r="H1" s="2">
        <v>10.5</v>
      </c>
      <c r="I1" s="2">
        <v>11.5</v>
      </c>
      <c r="J1" s="2">
        <v>12.5</v>
      </c>
      <c r="K1" s="2">
        <v>13.5</v>
      </c>
      <c r="L1" s="2">
        <v>14.5</v>
      </c>
      <c r="M1" s="2">
        <v>15.5</v>
      </c>
      <c r="N1" s="2">
        <v>16.5</v>
      </c>
      <c r="O1" s="2">
        <v>17.5</v>
      </c>
      <c r="P1" s="2">
        <v>18.5</v>
      </c>
      <c r="Q1" s="2">
        <v>19.5</v>
      </c>
    </row>
    <row r="2" spans="1:17" x14ac:dyDescent="0.3">
      <c r="A2" s="2">
        <v>0.25</v>
      </c>
      <c r="B2">
        <v>0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s="2">
        <v>0.75</v>
      </c>
      <c r="B3">
        <v>3.2</v>
      </c>
      <c r="C3">
        <v>5.6000000000000005</v>
      </c>
      <c r="D3">
        <v>7.2</v>
      </c>
      <c r="E3">
        <v>8.8000000000000007</v>
      </c>
      <c r="F3">
        <v>9.6000000000000014</v>
      </c>
      <c r="G3">
        <v>9.6000000000000014</v>
      </c>
      <c r="H3">
        <v>8.8000000000000007</v>
      </c>
      <c r="I3">
        <v>7.2</v>
      </c>
      <c r="J3">
        <v>6.4</v>
      </c>
      <c r="K3">
        <v>4.8000000000000007</v>
      </c>
      <c r="L3">
        <v>4</v>
      </c>
      <c r="M3">
        <v>3.2</v>
      </c>
      <c r="N3">
        <v>2.4000000000000004</v>
      </c>
      <c r="O3">
        <v>2.4000000000000004</v>
      </c>
      <c r="P3">
        <v>1.6</v>
      </c>
      <c r="Q3">
        <v>1.6</v>
      </c>
    </row>
    <row r="4" spans="1:17" x14ac:dyDescent="0.3">
      <c r="A4" s="2">
        <v>1.25</v>
      </c>
      <c r="B4">
        <v>8.8000000000000007</v>
      </c>
      <c r="C4">
        <v>14.4</v>
      </c>
      <c r="D4">
        <v>20.8</v>
      </c>
      <c r="E4">
        <v>24.8</v>
      </c>
      <c r="F4">
        <v>27.200000000000003</v>
      </c>
      <c r="G4">
        <v>25.6</v>
      </c>
      <c r="H4">
        <v>23.200000000000003</v>
      </c>
      <c r="I4">
        <v>20</v>
      </c>
      <c r="J4">
        <v>16.8</v>
      </c>
      <c r="K4">
        <v>13.600000000000001</v>
      </c>
      <c r="L4">
        <v>11.200000000000001</v>
      </c>
      <c r="M4">
        <v>9.6000000000000014</v>
      </c>
      <c r="N4">
        <v>7.2</v>
      </c>
      <c r="O4">
        <v>6.4</v>
      </c>
      <c r="P4">
        <v>4.8000000000000007</v>
      </c>
      <c r="Q4">
        <v>4</v>
      </c>
    </row>
    <row r="5" spans="1:17" x14ac:dyDescent="0.3">
      <c r="A5" s="2">
        <v>1.75</v>
      </c>
      <c r="B5">
        <v>17.600000000000001</v>
      </c>
      <c r="C5">
        <v>28.8</v>
      </c>
      <c r="D5">
        <v>44</v>
      </c>
      <c r="E5">
        <v>48</v>
      </c>
      <c r="F5">
        <v>51.2</v>
      </c>
      <c r="G5">
        <v>49.6</v>
      </c>
      <c r="H5">
        <v>44.800000000000004</v>
      </c>
      <c r="I5">
        <v>38.400000000000006</v>
      </c>
      <c r="J5">
        <v>32</v>
      </c>
      <c r="K5">
        <v>26.400000000000002</v>
      </c>
      <c r="L5">
        <v>21.6</v>
      </c>
      <c r="M5">
        <v>17.600000000000001</v>
      </c>
      <c r="N5">
        <v>14.4</v>
      </c>
      <c r="O5">
        <v>12</v>
      </c>
      <c r="P5">
        <v>10.4</v>
      </c>
      <c r="Q5">
        <v>8</v>
      </c>
    </row>
    <row r="6" spans="1:17" x14ac:dyDescent="0.3">
      <c r="A6" s="2">
        <v>2.25</v>
      </c>
      <c r="B6">
        <v>28.8</v>
      </c>
      <c r="C6">
        <v>47.2</v>
      </c>
      <c r="D6">
        <v>65.600000000000009</v>
      </c>
      <c r="E6">
        <v>79.2</v>
      </c>
      <c r="F6">
        <v>84</v>
      </c>
      <c r="G6">
        <v>80.800000000000011</v>
      </c>
      <c r="H6">
        <v>72</v>
      </c>
      <c r="I6">
        <v>62.400000000000006</v>
      </c>
      <c r="J6">
        <v>52</v>
      </c>
      <c r="K6">
        <v>43.2</v>
      </c>
      <c r="L6">
        <v>35.200000000000003</v>
      </c>
      <c r="M6">
        <v>28.8</v>
      </c>
      <c r="N6">
        <v>24</v>
      </c>
      <c r="O6">
        <v>20</v>
      </c>
      <c r="P6">
        <v>16</v>
      </c>
      <c r="Q6">
        <v>13.600000000000001</v>
      </c>
    </row>
    <row r="7" spans="1:17" x14ac:dyDescent="0.3">
      <c r="A7" s="2">
        <v>2.75</v>
      </c>
      <c r="B7">
        <v>43.2</v>
      </c>
      <c r="C7">
        <v>70.400000000000006</v>
      </c>
      <c r="D7">
        <v>96.800000000000011</v>
      </c>
      <c r="E7">
        <v>116</v>
      </c>
      <c r="F7">
        <v>123.2</v>
      </c>
      <c r="G7">
        <v>118.4</v>
      </c>
      <c r="H7">
        <v>106.4</v>
      </c>
      <c r="I7">
        <v>91.2</v>
      </c>
      <c r="J7">
        <v>76.800000000000011</v>
      </c>
      <c r="K7">
        <v>63.2</v>
      </c>
      <c r="L7">
        <v>52</v>
      </c>
      <c r="M7">
        <v>42.400000000000006</v>
      </c>
      <c r="N7">
        <v>35.200000000000003</v>
      </c>
      <c r="O7">
        <v>28.8</v>
      </c>
      <c r="P7">
        <v>24</v>
      </c>
      <c r="Q7">
        <v>20</v>
      </c>
    </row>
    <row r="8" spans="1:17" x14ac:dyDescent="0.3">
      <c r="A8" s="2">
        <v>3.25</v>
      </c>
      <c r="B8">
        <v>60</v>
      </c>
      <c r="C8">
        <v>98.4</v>
      </c>
      <c r="D8">
        <v>134.4</v>
      </c>
      <c r="E8">
        <v>160.80000000000001</v>
      </c>
      <c r="F8">
        <v>169.60000000000002</v>
      </c>
      <c r="G8">
        <v>162.4</v>
      </c>
      <c r="H8">
        <v>145.6</v>
      </c>
      <c r="I8">
        <v>125.60000000000001</v>
      </c>
      <c r="J8">
        <v>104.80000000000001</v>
      </c>
      <c r="K8">
        <v>87.2</v>
      </c>
      <c r="L8">
        <v>71.2</v>
      </c>
      <c r="M8">
        <v>58.400000000000006</v>
      </c>
      <c r="N8">
        <v>48</v>
      </c>
      <c r="O8">
        <v>40</v>
      </c>
      <c r="P8">
        <v>33.6</v>
      </c>
      <c r="Q8">
        <v>28</v>
      </c>
    </row>
    <row r="9" spans="1:17" x14ac:dyDescent="0.3">
      <c r="A9" s="2">
        <v>3.75</v>
      </c>
      <c r="B9">
        <v>80</v>
      </c>
      <c r="C9">
        <v>130.4</v>
      </c>
      <c r="D9">
        <v>177.60000000000002</v>
      </c>
      <c r="E9">
        <v>211.20000000000002</v>
      </c>
      <c r="F9">
        <v>221.60000000000002</v>
      </c>
      <c r="G9">
        <v>212</v>
      </c>
      <c r="H9">
        <v>190.4</v>
      </c>
      <c r="I9">
        <v>164</v>
      </c>
      <c r="J9">
        <v>137.6</v>
      </c>
      <c r="K9">
        <v>113.60000000000001</v>
      </c>
      <c r="L9">
        <v>93.600000000000009</v>
      </c>
      <c r="M9">
        <v>76.800000000000011</v>
      </c>
      <c r="N9">
        <v>63.2</v>
      </c>
      <c r="O9">
        <v>52.800000000000004</v>
      </c>
      <c r="P9">
        <v>44</v>
      </c>
      <c r="Q9">
        <v>36.800000000000004</v>
      </c>
    </row>
    <row r="10" spans="1:17" x14ac:dyDescent="0.3">
      <c r="A10" s="2">
        <v>4.25</v>
      </c>
      <c r="B10">
        <v>102.4</v>
      </c>
      <c r="C10">
        <v>166.4</v>
      </c>
      <c r="D10">
        <v>226.4</v>
      </c>
      <c r="E10">
        <v>268</v>
      </c>
      <c r="F10">
        <v>280.8</v>
      </c>
      <c r="G10">
        <v>268</v>
      </c>
      <c r="H10">
        <v>240.8</v>
      </c>
      <c r="I10">
        <v>207.20000000000002</v>
      </c>
      <c r="J10">
        <v>174.4</v>
      </c>
      <c r="K10">
        <v>144</v>
      </c>
      <c r="L10">
        <v>118.4</v>
      </c>
      <c r="M10">
        <v>97.600000000000009</v>
      </c>
      <c r="N10">
        <v>80</v>
      </c>
      <c r="O10">
        <v>66.400000000000006</v>
      </c>
      <c r="P10">
        <v>55.2</v>
      </c>
      <c r="Q10">
        <v>46.400000000000006</v>
      </c>
    </row>
    <row r="11" spans="1:17" x14ac:dyDescent="0.3">
      <c r="A11" s="2">
        <v>4.75</v>
      </c>
      <c r="B11">
        <v>127.2</v>
      </c>
      <c r="C11">
        <v>207.20000000000002</v>
      </c>
      <c r="D11">
        <v>281.60000000000002</v>
      </c>
      <c r="E11">
        <v>286</v>
      </c>
      <c r="F11">
        <v>286</v>
      </c>
      <c r="G11">
        <v>286</v>
      </c>
      <c r="H11">
        <v>286</v>
      </c>
      <c r="I11">
        <v>255.20000000000002</v>
      </c>
      <c r="J11">
        <v>214.4</v>
      </c>
      <c r="K11">
        <v>177.60000000000002</v>
      </c>
      <c r="L11">
        <v>146.4</v>
      </c>
      <c r="M11">
        <v>120</v>
      </c>
      <c r="N11">
        <v>99.2</v>
      </c>
      <c r="O11">
        <v>82.4</v>
      </c>
      <c r="P11">
        <v>68.8</v>
      </c>
      <c r="Q11">
        <v>57.6</v>
      </c>
    </row>
    <row r="12" spans="1:17" x14ac:dyDescent="0.3">
      <c r="A12" s="2">
        <v>5.25</v>
      </c>
      <c r="B12">
        <v>155.20000000000002</v>
      </c>
      <c r="C12">
        <v>252</v>
      </c>
      <c r="D12">
        <v>286</v>
      </c>
      <c r="E12">
        <v>286</v>
      </c>
      <c r="F12">
        <v>286</v>
      </c>
      <c r="G12">
        <v>286</v>
      </c>
      <c r="H12">
        <v>286</v>
      </c>
      <c r="I12">
        <v>286</v>
      </c>
      <c r="J12">
        <v>258.40000000000003</v>
      </c>
      <c r="K12">
        <v>214.4</v>
      </c>
      <c r="L12">
        <v>176</v>
      </c>
      <c r="M12">
        <v>144.80000000000001</v>
      </c>
      <c r="N12">
        <v>120</v>
      </c>
      <c r="O12">
        <v>99.2</v>
      </c>
      <c r="P12">
        <v>83.2</v>
      </c>
      <c r="Q12">
        <v>69.600000000000009</v>
      </c>
    </row>
    <row r="13" spans="1:17" x14ac:dyDescent="0.3">
      <c r="A13" s="2">
        <v>5.75</v>
      </c>
      <c r="B13">
        <v>185.60000000000002</v>
      </c>
      <c r="C13">
        <v>286</v>
      </c>
      <c r="D13">
        <v>286</v>
      </c>
      <c r="E13">
        <v>286</v>
      </c>
      <c r="F13">
        <v>286</v>
      </c>
      <c r="G13">
        <v>286</v>
      </c>
      <c r="H13">
        <v>286</v>
      </c>
      <c r="I13">
        <v>286</v>
      </c>
      <c r="J13">
        <v>286</v>
      </c>
      <c r="K13">
        <v>253.60000000000002</v>
      </c>
      <c r="L13">
        <v>208.8</v>
      </c>
      <c r="M13">
        <v>172</v>
      </c>
      <c r="N13">
        <v>142.4</v>
      </c>
      <c r="O13">
        <v>118.4</v>
      </c>
      <c r="P13">
        <v>98.4</v>
      </c>
      <c r="Q13">
        <v>83.2</v>
      </c>
    </row>
    <row r="14" spans="1:17" x14ac:dyDescent="0.3">
      <c r="A14" s="2">
        <v>6.25</v>
      </c>
      <c r="B14">
        <v>219.20000000000002</v>
      </c>
      <c r="C14">
        <v>286</v>
      </c>
      <c r="D14">
        <v>286</v>
      </c>
      <c r="E14">
        <v>286</v>
      </c>
      <c r="F14">
        <v>286</v>
      </c>
      <c r="G14">
        <v>286</v>
      </c>
      <c r="H14">
        <v>286</v>
      </c>
      <c r="I14">
        <v>286</v>
      </c>
      <c r="J14">
        <v>286</v>
      </c>
      <c r="K14">
        <v>286</v>
      </c>
      <c r="L14">
        <v>244</v>
      </c>
      <c r="M14">
        <v>201.60000000000002</v>
      </c>
      <c r="N14">
        <v>166.4</v>
      </c>
      <c r="O14">
        <v>138.4</v>
      </c>
      <c r="P14">
        <v>115.2</v>
      </c>
      <c r="Q14">
        <v>96.800000000000011</v>
      </c>
    </row>
    <row r="15" spans="1:17" x14ac:dyDescent="0.3">
      <c r="A15" s="2">
        <v>6.75</v>
      </c>
      <c r="B15">
        <v>255.20000000000002</v>
      </c>
      <c r="C15">
        <v>286</v>
      </c>
      <c r="D15">
        <v>286</v>
      </c>
      <c r="E15">
        <v>286</v>
      </c>
      <c r="F15">
        <v>286</v>
      </c>
      <c r="G15">
        <v>286</v>
      </c>
      <c r="H15">
        <v>286</v>
      </c>
      <c r="I15">
        <v>286</v>
      </c>
      <c r="J15">
        <v>286</v>
      </c>
      <c r="K15">
        <v>286</v>
      </c>
      <c r="L15">
        <v>281.60000000000002</v>
      </c>
      <c r="M15">
        <v>232.8</v>
      </c>
      <c r="N15">
        <v>192</v>
      </c>
      <c r="O15">
        <v>160</v>
      </c>
      <c r="P15">
        <v>133.6</v>
      </c>
      <c r="Q15">
        <v>112</v>
      </c>
    </row>
    <row r="16" spans="1:17" x14ac:dyDescent="0.3">
      <c r="A16" s="2">
        <v>7.25</v>
      </c>
      <c r="B16">
        <v>286</v>
      </c>
      <c r="C16">
        <v>286</v>
      </c>
      <c r="D16">
        <v>286</v>
      </c>
      <c r="E16">
        <v>286</v>
      </c>
      <c r="F16">
        <v>286</v>
      </c>
      <c r="G16">
        <v>286</v>
      </c>
      <c r="H16">
        <v>286</v>
      </c>
      <c r="I16">
        <v>286</v>
      </c>
      <c r="J16">
        <v>286</v>
      </c>
      <c r="K16">
        <v>286</v>
      </c>
      <c r="L16">
        <v>286</v>
      </c>
      <c r="M16">
        <v>265.60000000000002</v>
      </c>
      <c r="N16">
        <v>220</v>
      </c>
      <c r="O16">
        <v>182.4</v>
      </c>
      <c r="P16">
        <v>152.80000000000001</v>
      </c>
      <c r="Q16">
        <v>128.80000000000001</v>
      </c>
    </row>
    <row r="17" spans="1:17" x14ac:dyDescent="0.3">
      <c r="A17" s="2">
        <v>7.75</v>
      </c>
      <c r="B17">
        <v>286</v>
      </c>
      <c r="C17">
        <v>286</v>
      </c>
      <c r="D17">
        <v>286</v>
      </c>
      <c r="E17">
        <v>286</v>
      </c>
      <c r="F17">
        <v>286</v>
      </c>
      <c r="G17">
        <v>286</v>
      </c>
      <c r="H17">
        <v>286</v>
      </c>
      <c r="I17">
        <v>286</v>
      </c>
      <c r="J17">
        <v>286</v>
      </c>
      <c r="K17">
        <v>286</v>
      </c>
      <c r="L17">
        <v>286</v>
      </c>
      <c r="M17">
        <v>286</v>
      </c>
      <c r="N17">
        <v>248.8</v>
      </c>
      <c r="O17">
        <v>207.20000000000002</v>
      </c>
      <c r="P17">
        <v>173.60000000000002</v>
      </c>
      <c r="Q17">
        <v>145.6</v>
      </c>
    </row>
    <row r="18" spans="1:17" x14ac:dyDescent="0.3">
      <c r="A18" s="2">
        <v>8.25</v>
      </c>
      <c r="B18">
        <v>286</v>
      </c>
      <c r="C18">
        <v>286</v>
      </c>
      <c r="D18">
        <v>286</v>
      </c>
      <c r="E18">
        <v>286</v>
      </c>
      <c r="F18">
        <v>286</v>
      </c>
      <c r="G18">
        <v>286</v>
      </c>
      <c r="H18">
        <v>286</v>
      </c>
      <c r="I18">
        <v>286</v>
      </c>
      <c r="J18">
        <v>286</v>
      </c>
      <c r="K18">
        <v>286</v>
      </c>
      <c r="L18">
        <v>286</v>
      </c>
      <c r="M18">
        <v>286</v>
      </c>
      <c r="N18">
        <v>280</v>
      </c>
      <c r="O18">
        <v>232.8</v>
      </c>
      <c r="P18">
        <v>195.20000000000002</v>
      </c>
      <c r="Q18">
        <v>164</v>
      </c>
    </row>
    <row r="19" spans="1:17" x14ac:dyDescent="0.3">
      <c r="A19" s="2">
        <v>8.75</v>
      </c>
      <c r="B19">
        <v>286</v>
      </c>
      <c r="C19">
        <v>286</v>
      </c>
      <c r="D19">
        <v>286</v>
      </c>
      <c r="E19">
        <v>286</v>
      </c>
      <c r="F19">
        <v>286</v>
      </c>
      <c r="G19">
        <v>286</v>
      </c>
      <c r="H19">
        <v>286</v>
      </c>
      <c r="I19">
        <v>286</v>
      </c>
      <c r="J19">
        <v>286</v>
      </c>
      <c r="K19">
        <v>286</v>
      </c>
      <c r="L19">
        <v>286</v>
      </c>
      <c r="M19">
        <v>286</v>
      </c>
      <c r="N19">
        <v>286</v>
      </c>
      <c r="O19">
        <v>260</v>
      </c>
      <c r="P19">
        <v>218.4</v>
      </c>
      <c r="Q19">
        <v>184</v>
      </c>
    </row>
    <row r="20" spans="1:17" x14ac:dyDescent="0.3">
      <c r="A20" s="2">
        <v>9.25</v>
      </c>
      <c r="B20">
        <v>286</v>
      </c>
      <c r="C20">
        <v>286</v>
      </c>
      <c r="D20">
        <v>286</v>
      </c>
      <c r="E20">
        <v>286</v>
      </c>
      <c r="F20">
        <v>286</v>
      </c>
      <c r="G20">
        <v>286</v>
      </c>
      <c r="H20">
        <v>286</v>
      </c>
      <c r="I20">
        <v>286</v>
      </c>
      <c r="J20">
        <v>286</v>
      </c>
      <c r="K20">
        <v>286</v>
      </c>
      <c r="L20">
        <v>286</v>
      </c>
      <c r="M20">
        <v>286</v>
      </c>
      <c r="N20">
        <v>286</v>
      </c>
      <c r="O20">
        <v>286</v>
      </c>
      <c r="P20">
        <v>242.4</v>
      </c>
      <c r="Q20">
        <v>204</v>
      </c>
    </row>
    <row r="21" spans="1:17" x14ac:dyDescent="0.3">
      <c r="A21" s="2">
        <v>9.75</v>
      </c>
      <c r="B21">
        <v>286</v>
      </c>
      <c r="C21">
        <v>286</v>
      </c>
      <c r="D21">
        <v>286</v>
      </c>
      <c r="E21">
        <v>286</v>
      </c>
      <c r="F21">
        <v>286</v>
      </c>
      <c r="G21">
        <v>286</v>
      </c>
      <c r="H21">
        <v>286</v>
      </c>
      <c r="I21">
        <v>286</v>
      </c>
      <c r="J21">
        <v>286</v>
      </c>
      <c r="K21">
        <v>286</v>
      </c>
      <c r="L21">
        <v>286</v>
      </c>
      <c r="M21">
        <v>286</v>
      </c>
      <c r="N21">
        <v>286</v>
      </c>
      <c r="O21">
        <v>286</v>
      </c>
      <c r="P21">
        <v>267.2</v>
      </c>
      <c r="Q21">
        <v>225.60000000000002</v>
      </c>
    </row>
  </sheetData>
  <conditionalFormatting sqref="B2:Q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97F9-1CD1-44BC-AA9D-38BB7BA9BABB}">
  <dimension ref="A1:Q21"/>
  <sheetViews>
    <sheetView workbookViewId="0">
      <selection sqref="A1:Q21"/>
    </sheetView>
  </sheetViews>
  <sheetFormatPr baseColWidth="10" defaultRowHeight="14.4" x14ac:dyDescent="0.3"/>
  <sheetData>
    <row r="1" spans="1:17" x14ac:dyDescent="0.3">
      <c r="B1" s="1">
        <v>4.5</v>
      </c>
      <c r="C1" s="1">
        <v>5.5</v>
      </c>
      <c r="D1" s="1">
        <v>6.5</v>
      </c>
      <c r="E1" s="1">
        <v>7.5</v>
      </c>
      <c r="F1" s="1">
        <v>8.5</v>
      </c>
      <c r="G1" s="1">
        <v>9.5</v>
      </c>
      <c r="H1" s="1">
        <v>10.5</v>
      </c>
      <c r="I1" s="1">
        <v>11.5</v>
      </c>
      <c r="J1" s="1">
        <v>12.5</v>
      </c>
      <c r="K1" s="1">
        <v>13.5</v>
      </c>
      <c r="L1" s="1">
        <v>14.5</v>
      </c>
      <c r="M1" s="1">
        <v>15.5</v>
      </c>
      <c r="N1" s="1">
        <v>16.5</v>
      </c>
      <c r="O1" s="1">
        <v>17.5</v>
      </c>
      <c r="P1" s="1">
        <v>18.5</v>
      </c>
      <c r="Q1" s="1">
        <v>19.5</v>
      </c>
    </row>
    <row r="2" spans="1:17" x14ac:dyDescent="0.3">
      <c r="A2" s="1">
        <v>0.25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s="1">
        <v>0.75</v>
      </c>
      <c r="B3">
        <v>4</v>
      </c>
      <c r="C3">
        <v>7</v>
      </c>
      <c r="D3">
        <v>9</v>
      </c>
      <c r="E3">
        <v>11</v>
      </c>
      <c r="F3">
        <v>12</v>
      </c>
      <c r="G3">
        <v>12</v>
      </c>
      <c r="H3">
        <v>11</v>
      </c>
      <c r="I3">
        <v>9</v>
      </c>
      <c r="J3">
        <v>8</v>
      </c>
      <c r="K3">
        <v>6</v>
      </c>
      <c r="L3">
        <v>5</v>
      </c>
      <c r="M3">
        <v>4</v>
      </c>
      <c r="N3">
        <v>3</v>
      </c>
      <c r="O3">
        <v>3</v>
      </c>
      <c r="P3">
        <v>2</v>
      </c>
      <c r="Q3">
        <v>2</v>
      </c>
    </row>
    <row r="4" spans="1:17" x14ac:dyDescent="0.3">
      <c r="A4" s="1">
        <v>1.25</v>
      </c>
      <c r="B4">
        <v>11</v>
      </c>
      <c r="C4">
        <v>18</v>
      </c>
      <c r="D4">
        <v>26</v>
      </c>
      <c r="E4">
        <v>31</v>
      </c>
      <c r="F4">
        <v>34</v>
      </c>
      <c r="G4">
        <v>32</v>
      </c>
      <c r="H4">
        <v>29</v>
      </c>
      <c r="I4">
        <v>25</v>
      </c>
      <c r="J4">
        <v>21</v>
      </c>
      <c r="K4">
        <v>17</v>
      </c>
      <c r="L4">
        <v>14</v>
      </c>
      <c r="M4">
        <v>12</v>
      </c>
      <c r="N4">
        <v>9</v>
      </c>
      <c r="O4">
        <v>8</v>
      </c>
      <c r="P4">
        <v>6</v>
      </c>
      <c r="Q4">
        <v>5</v>
      </c>
    </row>
    <row r="5" spans="1:17" x14ac:dyDescent="0.3">
      <c r="A5" s="1">
        <v>1.75</v>
      </c>
      <c r="B5">
        <v>22</v>
      </c>
      <c r="C5">
        <v>36</v>
      </c>
      <c r="D5">
        <v>55</v>
      </c>
      <c r="E5">
        <v>60</v>
      </c>
      <c r="F5">
        <v>64</v>
      </c>
      <c r="G5">
        <v>62</v>
      </c>
      <c r="H5">
        <v>56</v>
      </c>
      <c r="I5">
        <v>48</v>
      </c>
      <c r="J5">
        <v>40</v>
      </c>
      <c r="K5">
        <v>33</v>
      </c>
      <c r="L5">
        <v>27</v>
      </c>
      <c r="M5">
        <v>22</v>
      </c>
      <c r="N5">
        <v>18</v>
      </c>
      <c r="O5">
        <v>15</v>
      </c>
      <c r="P5">
        <v>13</v>
      </c>
      <c r="Q5">
        <v>10</v>
      </c>
    </row>
    <row r="6" spans="1:17" x14ac:dyDescent="0.3">
      <c r="A6" s="1">
        <v>2.25</v>
      </c>
      <c r="B6">
        <v>36</v>
      </c>
      <c r="C6">
        <v>59</v>
      </c>
      <c r="D6">
        <v>82</v>
      </c>
      <c r="E6">
        <v>99</v>
      </c>
      <c r="F6">
        <v>105</v>
      </c>
      <c r="G6">
        <v>101</v>
      </c>
      <c r="H6">
        <v>90</v>
      </c>
      <c r="I6">
        <v>78</v>
      </c>
      <c r="J6">
        <v>65</v>
      </c>
      <c r="K6">
        <v>54</v>
      </c>
      <c r="L6">
        <v>44</v>
      </c>
      <c r="M6">
        <v>36</v>
      </c>
      <c r="N6">
        <v>30</v>
      </c>
      <c r="O6">
        <v>25</v>
      </c>
      <c r="P6">
        <v>20</v>
      </c>
      <c r="Q6">
        <v>17</v>
      </c>
    </row>
    <row r="7" spans="1:17" x14ac:dyDescent="0.3">
      <c r="A7" s="1">
        <v>2.75</v>
      </c>
      <c r="B7">
        <v>54</v>
      </c>
      <c r="C7">
        <v>88</v>
      </c>
      <c r="D7">
        <v>121</v>
      </c>
      <c r="E7">
        <v>145</v>
      </c>
      <c r="F7">
        <v>154</v>
      </c>
      <c r="G7">
        <v>148</v>
      </c>
      <c r="H7">
        <v>133</v>
      </c>
      <c r="I7">
        <v>114</v>
      </c>
      <c r="J7">
        <v>96</v>
      </c>
      <c r="K7">
        <v>79</v>
      </c>
      <c r="L7">
        <v>65</v>
      </c>
      <c r="M7">
        <v>53</v>
      </c>
      <c r="N7">
        <v>44</v>
      </c>
      <c r="O7">
        <v>36</v>
      </c>
      <c r="P7">
        <v>30</v>
      </c>
      <c r="Q7">
        <v>25</v>
      </c>
    </row>
    <row r="8" spans="1:17" x14ac:dyDescent="0.3">
      <c r="A8" s="1">
        <v>3.25</v>
      </c>
      <c r="B8">
        <v>75</v>
      </c>
      <c r="C8">
        <v>123</v>
      </c>
      <c r="D8">
        <v>168</v>
      </c>
      <c r="E8">
        <v>201</v>
      </c>
      <c r="F8">
        <v>212</v>
      </c>
      <c r="G8">
        <v>203</v>
      </c>
      <c r="H8">
        <v>182</v>
      </c>
      <c r="I8">
        <v>157</v>
      </c>
      <c r="J8">
        <v>131</v>
      </c>
      <c r="K8">
        <v>109</v>
      </c>
      <c r="L8">
        <v>89</v>
      </c>
      <c r="M8">
        <v>73</v>
      </c>
      <c r="N8">
        <v>60</v>
      </c>
      <c r="O8">
        <v>50</v>
      </c>
      <c r="P8">
        <v>42</v>
      </c>
      <c r="Q8">
        <v>35</v>
      </c>
    </row>
    <row r="9" spans="1:17" x14ac:dyDescent="0.3">
      <c r="A9" s="1">
        <v>3.75</v>
      </c>
      <c r="B9">
        <v>100</v>
      </c>
      <c r="C9">
        <v>163</v>
      </c>
      <c r="D9">
        <v>222</v>
      </c>
      <c r="E9">
        <v>264</v>
      </c>
      <c r="F9">
        <v>277</v>
      </c>
      <c r="G9">
        <v>265</v>
      </c>
      <c r="H9">
        <v>238</v>
      </c>
      <c r="I9">
        <v>205</v>
      </c>
      <c r="J9">
        <v>172</v>
      </c>
      <c r="K9">
        <v>142</v>
      </c>
      <c r="L9">
        <v>117</v>
      </c>
      <c r="M9">
        <v>96</v>
      </c>
      <c r="N9">
        <v>79</v>
      </c>
      <c r="O9">
        <v>66</v>
      </c>
      <c r="P9">
        <v>55</v>
      </c>
      <c r="Q9">
        <v>46</v>
      </c>
    </row>
    <row r="10" spans="1:17" x14ac:dyDescent="0.3">
      <c r="A10" s="1">
        <v>4.25</v>
      </c>
      <c r="B10">
        <v>128</v>
      </c>
      <c r="C10">
        <v>208</v>
      </c>
      <c r="D10">
        <v>283</v>
      </c>
      <c r="E10">
        <v>335</v>
      </c>
      <c r="F10">
        <v>351</v>
      </c>
      <c r="G10">
        <v>335</v>
      </c>
      <c r="H10">
        <v>301</v>
      </c>
      <c r="I10">
        <v>259</v>
      </c>
      <c r="J10">
        <v>218</v>
      </c>
      <c r="K10">
        <v>180</v>
      </c>
      <c r="L10">
        <v>148</v>
      </c>
      <c r="M10">
        <v>122</v>
      </c>
      <c r="N10">
        <v>100</v>
      </c>
      <c r="O10">
        <v>83</v>
      </c>
      <c r="P10">
        <v>69</v>
      </c>
      <c r="Q10">
        <v>58</v>
      </c>
    </row>
    <row r="11" spans="1:17" x14ac:dyDescent="0.3">
      <c r="A11" s="1">
        <v>4.75</v>
      </c>
      <c r="B11">
        <v>159</v>
      </c>
      <c r="C11">
        <v>259</v>
      </c>
      <c r="D11">
        <v>352</v>
      </c>
      <c r="E11">
        <v>414</v>
      </c>
      <c r="F11">
        <v>433</v>
      </c>
      <c r="G11">
        <v>413</v>
      </c>
      <c r="H11">
        <v>370</v>
      </c>
      <c r="I11">
        <v>319</v>
      </c>
      <c r="J11">
        <v>268</v>
      </c>
      <c r="K11">
        <v>222</v>
      </c>
      <c r="L11">
        <v>183</v>
      </c>
      <c r="M11">
        <v>150</v>
      </c>
      <c r="N11">
        <v>124</v>
      </c>
      <c r="O11">
        <v>103</v>
      </c>
      <c r="P11">
        <v>86</v>
      </c>
      <c r="Q11">
        <v>72</v>
      </c>
    </row>
    <row r="12" spans="1:17" x14ac:dyDescent="0.3">
      <c r="A12" s="1">
        <v>5.25</v>
      </c>
      <c r="B12">
        <v>194</v>
      </c>
      <c r="C12">
        <v>315</v>
      </c>
      <c r="D12">
        <v>426</v>
      </c>
      <c r="E12">
        <v>501</v>
      </c>
      <c r="F12">
        <v>522</v>
      </c>
      <c r="G12">
        <v>497</v>
      </c>
      <c r="H12">
        <v>445</v>
      </c>
      <c r="I12">
        <v>384</v>
      </c>
      <c r="J12">
        <v>323</v>
      </c>
      <c r="K12">
        <v>268</v>
      </c>
      <c r="L12">
        <v>220</v>
      </c>
      <c r="M12">
        <v>181</v>
      </c>
      <c r="N12">
        <v>150</v>
      </c>
      <c r="O12">
        <v>124</v>
      </c>
      <c r="P12">
        <v>104</v>
      </c>
      <c r="Q12">
        <v>87</v>
      </c>
    </row>
    <row r="13" spans="1:17" x14ac:dyDescent="0.3">
      <c r="A13" s="1">
        <v>5.75</v>
      </c>
      <c r="B13">
        <v>232</v>
      </c>
      <c r="C13">
        <v>377</v>
      </c>
      <c r="D13">
        <v>508</v>
      </c>
      <c r="E13">
        <v>595</v>
      </c>
      <c r="F13">
        <v>618</v>
      </c>
      <c r="G13">
        <v>588</v>
      </c>
      <c r="H13">
        <v>526</v>
      </c>
      <c r="I13">
        <v>454</v>
      </c>
      <c r="J13">
        <v>382</v>
      </c>
      <c r="K13">
        <v>317</v>
      </c>
      <c r="L13">
        <v>261</v>
      </c>
      <c r="M13">
        <v>215</v>
      </c>
      <c r="N13">
        <v>178</v>
      </c>
      <c r="O13">
        <v>148</v>
      </c>
      <c r="P13">
        <v>123</v>
      </c>
      <c r="Q13">
        <v>104</v>
      </c>
    </row>
    <row r="14" spans="1:17" x14ac:dyDescent="0.3">
      <c r="A14" s="1">
        <v>6.25</v>
      </c>
      <c r="B14">
        <v>274</v>
      </c>
      <c r="C14">
        <v>443</v>
      </c>
      <c r="D14">
        <v>596</v>
      </c>
      <c r="E14">
        <v>696</v>
      </c>
      <c r="F14">
        <v>722</v>
      </c>
      <c r="G14">
        <v>685</v>
      </c>
      <c r="H14">
        <v>614</v>
      </c>
      <c r="I14">
        <v>529</v>
      </c>
      <c r="J14">
        <v>446</v>
      </c>
      <c r="K14">
        <v>370</v>
      </c>
      <c r="L14">
        <v>305</v>
      </c>
      <c r="M14">
        <v>252</v>
      </c>
      <c r="N14">
        <v>208</v>
      </c>
      <c r="O14">
        <v>173</v>
      </c>
      <c r="P14">
        <v>144</v>
      </c>
      <c r="Q14">
        <v>121</v>
      </c>
    </row>
    <row r="15" spans="1:17" x14ac:dyDescent="0.3">
      <c r="A15" s="1">
        <v>6.75</v>
      </c>
      <c r="B15">
        <v>319</v>
      </c>
      <c r="C15">
        <v>515</v>
      </c>
      <c r="D15">
        <v>691</v>
      </c>
      <c r="E15">
        <v>804</v>
      </c>
      <c r="F15">
        <v>832</v>
      </c>
      <c r="G15">
        <v>789</v>
      </c>
      <c r="H15">
        <v>706</v>
      </c>
      <c r="I15">
        <v>610</v>
      </c>
      <c r="J15">
        <v>514</v>
      </c>
      <c r="K15">
        <v>427</v>
      </c>
      <c r="L15">
        <v>352</v>
      </c>
      <c r="M15">
        <v>291</v>
      </c>
      <c r="N15">
        <v>240</v>
      </c>
      <c r="O15">
        <v>200</v>
      </c>
      <c r="P15">
        <v>167</v>
      </c>
      <c r="Q15">
        <v>140</v>
      </c>
    </row>
    <row r="16" spans="1:17" x14ac:dyDescent="0.3">
      <c r="A16" s="1">
        <v>7.25</v>
      </c>
      <c r="B16">
        <v>367</v>
      </c>
      <c r="C16">
        <v>592</v>
      </c>
      <c r="D16">
        <v>792</v>
      </c>
      <c r="E16">
        <v>919</v>
      </c>
      <c r="F16">
        <v>949</v>
      </c>
      <c r="G16">
        <v>899</v>
      </c>
      <c r="H16">
        <v>805</v>
      </c>
      <c r="I16">
        <v>695</v>
      </c>
      <c r="J16">
        <v>586</v>
      </c>
      <c r="K16">
        <v>487</v>
      </c>
      <c r="L16">
        <v>402</v>
      </c>
      <c r="M16">
        <v>332</v>
      </c>
      <c r="N16">
        <v>275</v>
      </c>
      <c r="O16">
        <v>228</v>
      </c>
      <c r="P16">
        <v>191</v>
      </c>
      <c r="Q16">
        <v>161</v>
      </c>
    </row>
    <row r="17" spans="1:17" x14ac:dyDescent="0.3">
      <c r="A17" s="1">
        <v>7.75</v>
      </c>
      <c r="B17">
        <v>418</v>
      </c>
      <c r="C17">
        <v>674</v>
      </c>
      <c r="D17">
        <v>899</v>
      </c>
      <c r="E17">
        <v>1040</v>
      </c>
      <c r="F17">
        <v>1072</v>
      </c>
      <c r="G17">
        <v>1015</v>
      </c>
      <c r="H17">
        <v>909</v>
      </c>
      <c r="I17">
        <v>785</v>
      </c>
      <c r="J17">
        <v>662</v>
      </c>
      <c r="K17">
        <v>551</v>
      </c>
      <c r="L17">
        <v>455</v>
      </c>
      <c r="M17">
        <v>376</v>
      </c>
      <c r="N17">
        <v>311</v>
      </c>
      <c r="O17">
        <v>259</v>
      </c>
      <c r="P17">
        <v>217</v>
      </c>
      <c r="Q17">
        <v>182</v>
      </c>
    </row>
    <row r="18" spans="1:17" x14ac:dyDescent="0.3">
      <c r="A18" s="1">
        <v>8.25</v>
      </c>
      <c r="B18">
        <v>473</v>
      </c>
      <c r="C18">
        <v>760</v>
      </c>
      <c r="D18">
        <v>1013</v>
      </c>
      <c r="E18">
        <v>1169</v>
      </c>
      <c r="F18">
        <v>1202</v>
      </c>
      <c r="G18">
        <v>1137</v>
      </c>
      <c r="H18">
        <v>1018</v>
      </c>
      <c r="I18">
        <v>880</v>
      </c>
      <c r="J18">
        <v>743</v>
      </c>
      <c r="K18">
        <v>618</v>
      </c>
      <c r="L18">
        <v>511</v>
      </c>
      <c r="M18">
        <v>422</v>
      </c>
      <c r="N18">
        <v>350</v>
      </c>
      <c r="O18">
        <v>291</v>
      </c>
      <c r="P18">
        <v>244</v>
      </c>
      <c r="Q18">
        <v>205</v>
      </c>
    </row>
    <row r="19" spans="1:17" x14ac:dyDescent="0.3">
      <c r="A19" s="1">
        <v>8.75</v>
      </c>
      <c r="B19">
        <v>530</v>
      </c>
      <c r="C19">
        <v>852</v>
      </c>
      <c r="D19">
        <v>1132</v>
      </c>
      <c r="E19">
        <v>1303</v>
      </c>
      <c r="F19">
        <v>1339</v>
      </c>
      <c r="G19">
        <v>1265</v>
      </c>
      <c r="H19">
        <v>1132</v>
      </c>
      <c r="I19">
        <v>979</v>
      </c>
      <c r="J19">
        <v>827</v>
      </c>
      <c r="K19">
        <v>689</v>
      </c>
      <c r="L19">
        <v>570</v>
      </c>
      <c r="M19">
        <v>471</v>
      </c>
      <c r="N19">
        <v>391</v>
      </c>
      <c r="O19">
        <v>325</v>
      </c>
      <c r="P19">
        <v>273</v>
      </c>
      <c r="Q19">
        <v>230</v>
      </c>
    </row>
    <row r="20" spans="1:17" x14ac:dyDescent="0.3">
      <c r="A20" s="1">
        <v>9.25</v>
      </c>
      <c r="B20">
        <v>591</v>
      </c>
      <c r="C20">
        <v>949</v>
      </c>
      <c r="D20">
        <v>1257</v>
      </c>
      <c r="E20">
        <v>1444</v>
      </c>
      <c r="F20">
        <v>1481</v>
      </c>
      <c r="G20">
        <v>1399</v>
      </c>
      <c r="H20">
        <v>1252</v>
      </c>
      <c r="I20">
        <v>1083</v>
      </c>
      <c r="J20">
        <v>915</v>
      </c>
      <c r="K20">
        <v>763</v>
      </c>
      <c r="L20">
        <v>632</v>
      </c>
      <c r="M20">
        <v>523</v>
      </c>
      <c r="N20">
        <v>433</v>
      </c>
      <c r="O20">
        <v>361</v>
      </c>
      <c r="P20">
        <v>303</v>
      </c>
      <c r="Q20">
        <v>255</v>
      </c>
    </row>
    <row r="21" spans="1:17" x14ac:dyDescent="0.3">
      <c r="A21" s="1">
        <v>9.75</v>
      </c>
      <c r="B21">
        <v>655</v>
      </c>
      <c r="C21">
        <v>1050</v>
      </c>
      <c r="D21">
        <v>1388</v>
      </c>
      <c r="E21">
        <v>1591</v>
      </c>
      <c r="F21">
        <v>1630</v>
      </c>
      <c r="G21">
        <v>1538</v>
      </c>
      <c r="H21">
        <v>1377</v>
      </c>
      <c r="I21">
        <v>1191</v>
      </c>
      <c r="J21">
        <v>1008</v>
      </c>
      <c r="K21">
        <v>841</v>
      </c>
      <c r="L21">
        <v>696</v>
      </c>
      <c r="M21">
        <v>576</v>
      </c>
      <c r="N21">
        <v>478</v>
      </c>
      <c r="O21">
        <v>399</v>
      </c>
      <c r="P21">
        <v>334</v>
      </c>
      <c r="Q21">
        <v>282</v>
      </c>
    </row>
  </sheetData>
  <conditionalFormatting sqref="B2:Q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Q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Q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Electrical_PM</vt:lpstr>
      <vt:lpstr>Electrical_PM2</vt:lpstr>
      <vt:lpstr>Mechanical_PM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ANDER MARTINEZ PERURENA</cp:lastModifiedBy>
  <dcterms:created xsi:type="dcterms:W3CDTF">2025-11-18T07:59:28Z</dcterms:created>
  <dcterms:modified xsi:type="dcterms:W3CDTF">2025-11-18T11:14:45Z</dcterms:modified>
</cp:coreProperties>
</file>